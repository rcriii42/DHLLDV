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PycharmProjects\DHLLDV\tests\"/>
    </mc:Choice>
  </mc:AlternateContent>
  <xr:revisionPtr revIDLastSave="0" documentId="13_ncr:1_{606AEF8F-AF0A-4BDB-8B39-0D3932258CDA}" xr6:coauthVersionLast="47" xr6:coauthVersionMax="47" xr10:uidLastSave="{00000000-0000-0000-0000-000000000000}"/>
  <bookViews>
    <workbookView xWindow="-108" yWindow="-108" windowWidth="23256" windowHeight="12456" xr2:uid="{1C492C02-8B49-4D2F-A413-4AAA75DF0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I10" i="1"/>
  <c r="F12" i="1"/>
  <c r="F13" i="1" s="1"/>
  <c r="G9" i="1"/>
  <c r="F11" i="1"/>
  <c r="F14" i="1" s="1"/>
  <c r="G30" i="1"/>
  <c r="F30" i="1"/>
  <c r="E30" i="1"/>
  <c r="F23" i="1"/>
  <c r="D32" i="1"/>
  <c r="D31" i="1"/>
  <c r="D30" i="1"/>
  <c r="D29" i="1"/>
  <c r="D28" i="1"/>
  <c r="C24" i="1"/>
  <c r="E23" i="1"/>
  <c r="G23" i="1" s="1"/>
  <c r="B23" i="1"/>
  <c r="E22" i="1"/>
  <c r="G22" i="1" s="1"/>
  <c r="C5" i="1"/>
  <c r="E4" i="1"/>
  <c r="G4" i="1" s="1"/>
  <c r="B4" i="1"/>
  <c r="G3" i="1"/>
  <c r="E3" i="1"/>
  <c r="G11" i="1" l="1"/>
  <c r="G14" i="1"/>
</calcChain>
</file>

<file path=xl/sharedStrings.xml><?xml version="1.0" encoding="utf-8"?>
<sst xmlns="http://schemas.openxmlformats.org/spreadsheetml/2006/main" count="42" uniqueCount="15">
  <si>
    <t>length</t>
  </si>
  <si>
    <t>rhom</t>
  </si>
  <si>
    <t>slurry1</t>
  </si>
  <si>
    <t>diameter</t>
  </si>
  <si>
    <t>Area</t>
  </si>
  <si>
    <t>slurry2</t>
  </si>
  <si>
    <t>Vm</t>
  </si>
  <si>
    <t>Q</t>
  </si>
  <si>
    <t>S1 after 1 second</t>
  </si>
  <si>
    <t>Time</t>
  </si>
  <si>
    <t>slugs</t>
  </si>
  <si>
    <t>rho_out</t>
  </si>
  <si>
    <t>rho</t>
  </si>
  <si>
    <t>im</t>
  </si>
  <si>
    <t>Htot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</si>
</sst>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0BA3-A357-463D-8845-E3CE48B8B68A}">
  <dimension ref="A2:I32"/>
  <sheetViews>
    <sheetView tabSelected="1" topLeftCell="A13" workbookViewId="0">
      <selection activeCell="E32" sqref="E32"/>
    </sheetView>
  </sheetViews>
  <sheetFormatPr defaultRowHeight="13.8"/>
  <cols>
    <col min="1" max="1" width="15.09765625" bestFit="1" customWidth="1"/>
  </cols>
  <sheetData>
    <row r="2" spans="1:9">
      <c r="B2" t="s">
        <v>0</v>
      </c>
      <c r="C2" t="s">
        <v>1</v>
      </c>
      <c r="D2" t="s">
        <v>3</v>
      </c>
      <c r="E2" t="s">
        <v>4</v>
      </c>
      <c r="F2" t="s">
        <v>6</v>
      </c>
      <c r="G2" t="s">
        <v>7</v>
      </c>
    </row>
    <row r="3" spans="1:9">
      <c r="A3" t="s">
        <v>2</v>
      </c>
      <c r="B3">
        <v>10</v>
      </c>
      <c r="C3">
        <v>1.34984824</v>
      </c>
      <c r="D3">
        <v>0.76200000000000001</v>
      </c>
      <c r="E3">
        <f>PI()*(D3/2)^2</f>
        <v>0.45603673118774801</v>
      </c>
      <c r="F3">
        <v>4</v>
      </c>
      <c r="G3">
        <f>F3*E3</f>
        <v>1.824146924750992</v>
      </c>
    </row>
    <row r="4" spans="1:9">
      <c r="A4" t="s">
        <v>5</v>
      </c>
      <c r="B4">
        <f>F3</f>
        <v>4</v>
      </c>
      <c r="C4">
        <v>1.18732927</v>
      </c>
      <c r="D4">
        <v>0.76200000000000001</v>
      </c>
      <c r="E4">
        <f>PI()*(D4/2)^2</f>
        <v>0.45603673118774801</v>
      </c>
      <c r="F4">
        <v>4</v>
      </c>
      <c r="G4">
        <f>F4*E4</f>
        <v>1.824146924750992</v>
      </c>
    </row>
    <row r="5" spans="1:9">
      <c r="A5" t="s">
        <v>8</v>
      </c>
      <c r="C5">
        <f>(6*C3+4*C4)/10</f>
        <v>1.2848406520000002</v>
      </c>
    </row>
    <row r="8" spans="1:9">
      <c r="A8" t="s">
        <v>9</v>
      </c>
      <c r="B8" t="s">
        <v>10</v>
      </c>
      <c r="F8" t="s">
        <v>13</v>
      </c>
      <c r="G8" t="s">
        <v>14</v>
      </c>
    </row>
    <row r="9" spans="1:9" s="1" customFormat="1">
      <c r="A9" s="1">
        <v>0</v>
      </c>
      <c r="B9" s="1">
        <v>10</v>
      </c>
      <c r="C9" s="1" t="s">
        <v>2</v>
      </c>
      <c r="F9" s="1">
        <v>0.113310196224888</v>
      </c>
      <c r="G9" s="1">
        <f>F9*B9</f>
        <v>1.13310196224888</v>
      </c>
    </row>
    <row r="10" spans="1:9">
      <c r="A10">
        <v>1</v>
      </c>
      <c r="B10">
        <v>4</v>
      </c>
      <c r="C10" t="s">
        <v>5</v>
      </c>
      <c r="F10">
        <v>9.7204614488586097E-2</v>
      </c>
      <c r="I10">
        <f>F10*B10</f>
        <v>0.38881845795434439</v>
      </c>
    </row>
    <row r="11" spans="1:9" s="1" customFormat="1">
      <c r="A11" s="1">
        <v>1</v>
      </c>
      <c r="B11" s="1">
        <v>6</v>
      </c>
      <c r="C11" s="1" t="s">
        <v>2</v>
      </c>
      <c r="F11" s="1">
        <f>F9</f>
        <v>0.113310196224888</v>
      </c>
      <c r="G11" s="1">
        <f>F11*B11+F10*B10</f>
        <v>1.0686796353036723</v>
      </c>
    </row>
    <row r="12" spans="1:9">
      <c r="A12">
        <v>2</v>
      </c>
      <c r="B12">
        <v>4</v>
      </c>
      <c r="C12" t="s">
        <v>5</v>
      </c>
      <c r="F12">
        <f>F10</f>
        <v>9.7204614488586097E-2</v>
      </c>
    </row>
    <row r="13" spans="1:9">
      <c r="A13">
        <v>2</v>
      </c>
      <c r="B13">
        <v>4</v>
      </c>
      <c r="C13" t="s">
        <v>5</v>
      </c>
      <c r="F13">
        <f>F12</f>
        <v>9.7204614488586097E-2</v>
      </c>
    </row>
    <row r="14" spans="1:9" s="1" customFormat="1">
      <c r="A14" s="1">
        <v>2</v>
      </c>
      <c r="B14" s="1">
        <v>2</v>
      </c>
      <c r="C14" s="1" t="s">
        <v>2</v>
      </c>
      <c r="F14" s="1">
        <f>F11</f>
        <v>0.113310196224888</v>
      </c>
      <c r="G14" s="1">
        <f>SUMPRODUCT(B12:B14,F12:F14)</f>
        <v>1.0042573083584647</v>
      </c>
    </row>
    <row r="15" spans="1:9">
      <c r="A15">
        <v>3</v>
      </c>
      <c r="B15">
        <v>4</v>
      </c>
      <c r="C15" t="s">
        <v>5</v>
      </c>
    </row>
    <row r="16" spans="1:9">
      <c r="B16">
        <v>4</v>
      </c>
      <c r="C16" t="s">
        <v>5</v>
      </c>
    </row>
    <row r="17" spans="1:7">
      <c r="B17">
        <v>2</v>
      </c>
      <c r="C17" t="s">
        <v>5</v>
      </c>
    </row>
    <row r="21" spans="1:7">
      <c r="B21" t="s">
        <v>0</v>
      </c>
      <c r="C21" t="s">
        <v>1</v>
      </c>
      <c r="D21" t="s">
        <v>3</v>
      </c>
      <c r="E21" t="s">
        <v>4</v>
      </c>
      <c r="F21" t="s">
        <v>6</v>
      </c>
      <c r="G21" t="s">
        <v>7</v>
      </c>
    </row>
    <row r="22" spans="1:7">
      <c r="A22" t="s">
        <v>2</v>
      </c>
      <c r="B22">
        <v>10</v>
      </c>
      <c r="C22">
        <v>1.34984824</v>
      </c>
      <c r="D22">
        <v>0.76200000000000001</v>
      </c>
      <c r="E22">
        <f>PI()*(D22/2)^2</f>
        <v>0.45603673118774801</v>
      </c>
      <c r="F22">
        <v>5.5</v>
      </c>
      <c r="G22">
        <f>F22*E22</f>
        <v>2.5082020215326142</v>
      </c>
    </row>
    <row r="23" spans="1:7">
      <c r="A23" t="s">
        <v>5</v>
      </c>
      <c r="B23">
        <f>F22</f>
        <v>5.5</v>
      </c>
      <c r="C23">
        <v>1.18732927</v>
      </c>
      <c r="D23">
        <v>0.76200000000000001</v>
      </c>
      <c r="E23">
        <f>PI()*(D23/2)^2</f>
        <v>0.45603673118774801</v>
      </c>
      <c r="F23">
        <f>F22</f>
        <v>5.5</v>
      </c>
      <c r="G23">
        <f>F23*E23</f>
        <v>2.5082020215326142</v>
      </c>
    </row>
    <row r="24" spans="1:7">
      <c r="A24" t="s">
        <v>8</v>
      </c>
      <c r="C24">
        <f>(6*C22+4*C23)/10</f>
        <v>1.2848406520000002</v>
      </c>
    </row>
    <row r="27" spans="1:7">
      <c r="A27" t="s">
        <v>9</v>
      </c>
      <c r="B27" t="s">
        <v>10</v>
      </c>
      <c r="D27" t="s">
        <v>12</v>
      </c>
      <c r="E27" t="s">
        <v>11</v>
      </c>
      <c r="F27" t="s">
        <v>13</v>
      </c>
      <c r="G27" t="s">
        <v>14</v>
      </c>
    </row>
    <row r="28" spans="1:7">
      <c r="A28">
        <v>0</v>
      </c>
      <c r="B28">
        <v>10</v>
      </c>
      <c r="C28" t="s">
        <v>2</v>
      </c>
      <c r="D28">
        <f>C3</f>
        <v>1.34984824</v>
      </c>
      <c r="F28">
        <v>7.1600399820692801E-2</v>
      </c>
    </row>
    <row r="29" spans="1:7">
      <c r="A29">
        <v>1</v>
      </c>
      <c r="B29">
        <v>5.5</v>
      </c>
      <c r="C29" t="s">
        <v>5</v>
      </c>
      <c r="D29">
        <f>C4</f>
        <v>1.18732927</v>
      </c>
      <c r="F29">
        <v>6.0029523153696002E-2</v>
      </c>
    </row>
    <row r="30" spans="1:7">
      <c r="A30">
        <v>1</v>
      </c>
      <c r="B30">
        <v>4.5</v>
      </c>
      <c r="C30" t="s">
        <v>2</v>
      </c>
      <c r="D30">
        <f>D28</f>
        <v>1.34984824</v>
      </c>
      <c r="E30">
        <f>D30</f>
        <v>1.34984824</v>
      </c>
      <c r="F30">
        <f>F28</f>
        <v>7.1600399820692801E-2</v>
      </c>
      <c r="G30">
        <f>F30*B30+F29*B29</f>
        <v>0.65236417653844558</v>
      </c>
    </row>
    <row r="31" spans="1:7">
      <c r="A31">
        <v>2</v>
      </c>
      <c r="B31">
        <v>5.5</v>
      </c>
      <c r="C31" t="s">
        <v>5</v>
      </c>
      <c r="D31">
        <f>D29</f>
        <v>1.18732927</v>
      </c>
    </row>
    <row r="32" spans="1:7">
      <c r="A32">
        <v>2</v>
      </c>
      <c r="B32">
        <v>4.5</v>
      </c>
      <c r="C32" t="s">
        <v>5</v>
      </c>
      <c r="D32">
        <f>D31</f>
        <v>1.18732927</v>
      </c>
      <c r="E32">
        <f>(4.5*E30+1*D32)/5.5</f>
        <v>1.3202993363636364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Ramsdell Robert</dc:creator>
  <cp:lastModifiedBy>Ramsdell Robert</cp:lastModifiedBy>
  <dcterms:created xsi:type="dcterms:W3CDTF">2025-05-08T21:04:13Z</dcterms:created>
  <dcterms:modified xsi:type="dcterms:W3CDTF">2025-05-09T20:57:07Z</dcterms:modified>
</cp:coreProperties>
</file>