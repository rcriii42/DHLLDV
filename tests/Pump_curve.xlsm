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378E8BFC-92CC-4959-87E6-6012DA916A86}" xr6:coauthVersionLast="47" xr6:coauthVersionMax="47" xr10:uidLastSave="{00000000-0000-0000-0000-000000000000}"/>
  <bookViews>
    <workbookView xWindow="-110" yWindow="-110" windowWidth="19420" windowHeight="11020" activeTab="2" xr2:uid="{36A6D056-07A8-4E30-AFB9-7896CA916417}"/>
  </bookViews>
  <sheets>
    <sheet name="V-C" sheetId="1" r:id="rId1"/>
    <sheet name="NS-Eff" sheetId="2" r:id="rId2"/>
    <sheet name="UWP Example" sheetId="3" r:id="rId3"/>
    <sheet name="Torque Limited example" sheetId="5" r:id="rId4"/>
    <sheet name="Power Limited example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3" l="1"/>
  <c r="D10" i="3"/>
  <c r="D13" i="3"/>
  <c r="B13" i="3"/>
  <c r="D6" i="3"/>
  <c r="D5" i="3"/>
  <c r="D4" i="3"/>
  <c r="A1" i="3" s="1"/>
  <c r="D3" i="3"/>
  <c r="A24" i="5" l="1"/>
  <c r="E24" i="5" s="1"/>
  <c r="B12" i="5"/>
  <c r="B8" i="5"/>
  <c r="B7" i="5"/>
  <c r="D6" i="5"/>
  <c r="D5" i="5"/>
  <c r="D4" i="5"/>
  <c r="D3" i="5"/>
  <c r="D4" i="4"/>
  <c r="D5" i="4"/>
  <c r="D3" i="4"/>
  <c r="D6" i="4"/>
  <c r="B12" i="4"/>
  <c r="B8" i="4"/>
  <c r="B7" i="4"/>
  <c r="B27" i="3"/>
  <c r="C27" i="3"/>
  <c r="E27" i="3"/>
  <c r="B7" i="3"/>
  <c r="B8" i="3"/>
  <c r="E34" i="3"/>
  <c r="E20" i="3"/>
  <c r="E21" i="3"/>
  <c r="E22" i="3"/>
  <c r="E23" i="3"/>
  <c r="E24" i="3"/>
  <c r="E25" i="3"/>
  <c r="K25" i="3" s="1"/>
  <c r="E26" i="3"/>
  <c r="E28" i="3"/>
  <c r="E29" i="3"/>
  <c r="A28" i="4" s="1"/>
  <c r="E28" i="4" s="1"/>
  <c r="E30" i="3"/>
  <c r="E31" i="3"/>
  <c r="E32" i="3"/>
  <c r="E33" i="3"/>
  <c r="K33" i="3" s="1"/>
  <c r="E19" i="3"/>
  <c r="K19" i="3" s="1"/>
  <c r="C34" i="3"/>
  <c r="C33" i="3"/>
  <c r="C32" i="3"/>
  <c r="C31" i="3"/>
  <c r="C30" i="3"/>
  <c r="C29" i="3"/>
  <c r="C28" i="3"/>
  <c r="C26" i="3"/>
  <c r="C25" i="3"/>
  <c r="C24" i="3"/>
  <c r="C23" i="3"/>
  <c r="C22" i="3"/>
  <c r="C21" i="3"/>
  <c r="C20" i="3"/>
  <c r="C19" i="3"/>
  <c r="B20" i="3"/>
  <c r="B21" i="3"/>
  <c r="B22" i="3"/>
  <c r="B23" i="3"/>
  <c r="B24" i="3"/>
  <c r="B25" i="3"/>
  <c r="B26" i="3"/>
  <c r="B28" i="3"/>
  <c r="B29" i="3"/>
  <c r="B30" i="3"/>
  <c r="B31" i="3"/>
  <c r="B32" i="3"/>
  <c r="B33" i="3"/>
  <c r="B34" i="3"/>
  <c r="B19" i="3"/>
  <c r="A29" i="4" l="1"/>
  <c r="E29" i="4" s="1"/>
  <c r="K30" i="3"/>
  <c r="A20" i="4"/>
  <c r="E20" i="4" s="1"/>
  <c r="K21" i="3"/>
  <c r="A23" i="5"/>
  <c r="E23" i="5" s="1"/>
  <c r="K24" i="3"/>
  <c r="A22" i="4"/>
  <c r="E22" i="4" s="1"/>
  <c r="K23" i="3"/>
  <c r="A27" i="4"/>
  <c r="E27" i="4" s="1"/>
  <c r="K28" i="3"/>
  <c r="A33" i="4"/>
  <c r="E33" i="4" s="1"/>
  <c r="K34" i="3"/>
  <c r="A32" i="4"/>
  <c r="E32" i="4" s="1"/>
  <c r="A29" i="5"/>
  <c r="E29" i="5" s="1"/>
  <c r="A31" i="5"/>
  <c r="E31" i="5" s="1"/>
  <c r="K32" i="3"/>
  <c r="A30" i="4"/>
  <c r="E30" i="4" s="1"/>
  <c r="K31" i="3"/>
  <c r="A21" i="4"/>
  <c r="E21" i="4" s="1"/>
  <c r="K22" i="3"/>
  <c r="A19" i="4"/>
  <c r="E19" i="4" s="1"/>
  <c r="K20" i="3"/>
  <c r="A25" i="5"/>
  <c r="E25" i="5" s="1"/>
  <c r="K26" i="3"/>
  <c r="A32" i="5"/>
  <c r="E32" i="5" s="1"/>
  <c r="A26" i="5"/>
  <c r="E26" i="5" s="1"/>
  <c r="K27" i="3"/>
  <c r="A28" i="5"/>
  <c r="E28" i="5" s="1"/>
  <c r="K29" i="3"/>
  <c r="A24" i="4"/>
  <c r="E24" i="4" s="1"/>
  <c r="A33" i="5"/>
  <c r="E33" i="5" s="1"/>
  <c r="A21" i="5"/>
  <c r="E21" i="5" s="1"/>
  <c r="A26" i="4"/>
  <c r="E26" i="4" s="1"/>
  <c r="A19" i="5"/>
  <c r="E19" i="5" s="1"/>
  <c r="A27" i="5"/>
  <c r="E27" i="5" s="1"/>
  <c r="A18" i="4"/>
  <c r="E18" i="4" s="1"/>
  <c r="A31" i="4"/>
  <c r="E31" i="4" s="1"/>
  <c r="A23" i="4"/>
  <c r="E23" i="4" s="1"/>
  <c r="A22" i="5"/>
  <c r="E22" i="5" s="1"/>
  <c r="A30" i="5"/>
  <c r="E30" i="5" s="1"/>
  <c r="D27" i="3"/>
  <c r="F27" i="3" s="1"/>
  <c r="L27" i="3" s="1"/>
  <c r="A25" i="4"/>
  <c r="E25" i="4" s="1"/>
  <c r="A20" i="5"/>
  <c r="E20" i="5" s="1"/>
  <c r="A18" i="5"/>
  <c r="E18" i="5" s="1"/>
  <c r="D30" i="3"/>
  <c r="F30" i="3" s="1"/>
  <c r="L30" i="3" s="1"/>
  <c r="D34" i="3"/>
  <c r="F34" i="3" s="1"/>
  <c r="L34" i="3" s="1"/>
  <c r="D29" i="3"/>
  <c r="F29" i="3" s="1"/>
  <c r="L29" i="3" s="1"/>
  <c r="D20" i="3"/>
  <c r="F20" i="3" s="1"/>
  <c r="L20" i="3" s="1"/>
  <c r="D28" i="3"/>
  <c r="F28" i="3" s="1"/>
  <c r="L28" i="3" s="1"/>
  <c r="D19" i="3"/>
  <c r="F19" i="3" s="1"/>
  <c r="L19" i="3" s="1"/>
  <c r="D25" i="3"/>
  <c r="F25" i="3" s="1"/>
  <c r="L25" i="3" s="1"/>
  <c r="D26" i="3"/>
  <c r="F26" i="3" s="1"/>
  <c r="L26" i="3" s="1"/>
  <c r="D33" i="3"/>
  <c r="F33" i="3" s="1"/>
  <c r="L33" i="3" s="1"/>
  <c r="D24" i="3"/>
  <c r="F24" i="3" s="1"/>
  <c r="L24" i="3" s="1"/>
  <c r="D32" i="3"/>
  <c r="F32" i="3" s="1"/>
  <c r="L32" i="3" s="1"/>
  <c r="D23" i="3"/>
  <c r="F23" i="3" s="1"/>
  <c r="L23" i="3" s="1"/>
  <c r="D31" i="3"/>
  <c r="F31" i="3" s="1"/>
  <c r="L31" i="3" s="1"/>
  <c r="D22" i="3"/>
  <c r="D21" i="3"/>
  <c r="F21" i="3" s="1"/>
  <c r="L21" i="3" s="1"/>
  <c r="B26" i="5" l="1"/>
  <c r="F26" i="5" s="1"/>
  <c r="B26" i="4"/>
  <c r="F26" i="4" s="1"/>
  <c r="B22" i="5"/>
  <c r="F22" i="5" s="1"/>
  <c r="B22" i="4"/>
  <c r="F22" i="4" s="1"/>
  <c r="G20" i="3"/>
  <c r="B19" i="4"/>
  <c r="F19" i="4" s="1"/>
  <c r="B19" i="5"/>
  <c r="F19" i="5" s="1"/>
  <c r="F38" i="5" s="1"/>
  <c r="B31" i="5"/>
  <c r="F31" i="5" s="1"/>
  <c r="B31" i="4"/>
  <c r="F31" i="4" s="1"/>
  <c r="B23" i="5"/>
  <c r="F23" i="5" s="1"/>
  <c r="B23" i="4"/>
  <c r="F23" i="4" s="1"/>
  <c r="G27" i="3"/>
  <c r="F42" i="4"/>
  <c r="F22" i="3"/>
  <c r="L22" i="3" s="1"/>
  <c r="B30" i="5"/>
  <c r="F30" i="5" s="1"/>
  <c r="B30" i="4"/>
  <c r="F30" i="4" s="1"/>
  <c r="B27" i="4"/>
  <c r="F27" i="4" s="1"/>
  <c r="B27" i="5"/>
  <c r="F27" i="5" s="1"/>
  <c r="G34" i="3"/>
  <c r="B33" i="5"/>
  <c r="F33" i="5" s="1"/>
  <c r="B33" i="4"/>
  <c r="F33" i="4" s="1"/>
  <c r="F50" i="4"/>
  <c r="B25" i="4"/>
  <c r="F25" i="4" s="1"/>
  <c r="B25" i="5"/>
  <c r="F25" i="5" s="1"/>
  <c r="G30" i="3"/>
  <c r="B29" i="4"/>
  <c r="F29" i="4" s="1"/>
  <c r="B29" i="5"/>
  <c r="F29" i="5" s="1"/>
  <c r="F41" i="5"/>
  <c r="B18" i="5"/>
  <c r="F18" i="5" s="1"/>
  <c r="B18" i="4"/>
  <c r="F18" i="4" s="1"/>
  <c r="F37" i="4" s="1"/>
  <c r="G29" i="3"/>
  <c r="B28" i="5"/>
  <c r="F28" i="5" s="1"/>
  <c r="B28" i="4"/>
  <c r="F28" i="4" s="1"/>
  <c r="B32" i="4"/>
  <c r="F32" i="4" s="1"/>
  <c r="B32" i="5"/>
  <c r="F32" i="5" s="1"/>
  <c r="B20" i="5"/>
  <c r="F20" i="5" s="1"/>
  <c r="B20" i="4"/>
  <c r="F20" i="4" s="1"/>
  <c r="B24" i="4"/>
  <c r="F24" i="4" s="1"/>
  <c r="B24" i="5"/>
  <c r="F24" i="5" s="1"/>
  <c r="G24" i="3"/>
  <c r="G28" i="3"/>
  <c r="G21" i="3"/>
  <c r="G19" i="3"/>
  <c r="H19" i="3" s="1"/>
  <c r="I19" i="3" s="1"/>
  <c r="M19" i="3" s="1"/>
  <c r="N19" i="3" s="1"/>
  <c r="G32" i="3"/>
  <c r="G33" i="3"/>
  <c r="G26" i="3"/>
  <c r="G31" i="3"/>
  <c r="G23" i="3"/>
  <c r="G25" i="3"/>
  <c r="G22" i="3" l="1"/>
  <c r="H22" i="3" s="1"/>
  <c r="F52" i="4"/>
  <c r="B21" i="4"/>
  <c r="F21" i="4" s="1"/>
  <c r="B21" i="5"/>
  <c r="F21" i="5" s="1"/>
  <c r="F45" i="4"/>
  <c r="F45" i="5"/>
  <c r="F37" i="5"/>
  <c r="F44" i="4"/>
  <c r="F49" i="5"/>
  <c r="F50" i="5"/>
  <c r="H25" i="3"/>
  <c r="H23" i="3"/>
  <c r="F51" i="4"/>
  <c r="F52" i="5"/>
  <c r="H31" i="3"/>
  <c r="H24" i="3"/>
  <c r="F47" i="4"/>
  <c r="F48" i="5"/>
  <c r="H34" i="3"/>
  <c r="H27" i="3"/>
  <c r="F38" i="4"/>
  <c r="F47" i="5"/>
  <c r="F48" i="4"/>
  <c r="F46" i="5"/>
  <c r="H20" i="3"/>
  <c r="F39" i="4"/>
  <c r="C18" i="4"/>
  <c r="G18" i="4" s="1"/>
  <c r="G37" i="4" s="1"/>
  <c r="C18" i="5"/>
  <c r="G18" i="5" s="1"/>
  <c r="G37" i="5" s="1"/>
  <c r="F39" i="5"/>
  <c r="H21" i="3"/>
  <c r="F51" i="5"/>
  <c r="H26" i="3"/>
  <c r="H33" i="3"/>
  <c r="F43" i="5"/>
  <c r="H29" i="3"/>
  <c r="H30" i="3"/>
  <c r="F46" i="4"/>
  <c r="F42" i="5"/>
  <c r="F41" i="4"/>
  <c r="H28" i="3"/>
  <c r="H32" i="3"/>
  <c r="F43" i="4"/>
  <c r="H18" i="4"/>
  <c r="F44" i="5"/>
  <c r="F49" i="4"/>
  <c r="I20" i="3" l="1"/>
  <c r="M20" i="3" s="1"/>
  <c r="N20" i="3" s="1"/>
  <c r="I28" i="3"/>
  <c r="M28" i="3" s="1"/>
  <c r="N28" i="3" s="1"/>
  <c r="I30" i="3"/>
  <c r="M30" i="3" s="1"/>
  <c r="N30" i="3" s="1"/>
  <c r="I26" i="3"/>
  <c r="M26" i="3" s="1"/>
  <c r="N26" i="3" s="1"/>
  <c r="F40" i="5"/>
  <c r="I29" i="3"/>
  <c r="M29" i="3" s="1"/>
  <c r="N29" i="3" s="1"/>
  <c r="I27" i="3"/>
  <c r="M27" i="3" s="1"/>
  <c r="N27" i="3" s="1"/>
  <c r="I24" i="3"/>
  <c r="M24" i="3" s="1"/>
  <c r="N24" i="3" s="1"/>
  <c r="I23" i="3"/>
  <c r="M23" i="3" s="1"/>
  <c r="N23" i="3" s="1"/>
  <c r="F40" i="4"/>
  <c r="I21" i="3"/>
  <c r="M21" i="3" s="1"/>
  <c r="N21" i="3" s="1"/>
  <c r="I34" i="3"/>
  <c r="M34" i="3" s="1"/>
  <c r="N34" i="3" s="1"/>
  <c r="I31" i="3"/>
  <c r="M31" i="3" s="1"/>
  <c r="N31" i="3" s="1"/>
  <c r="I25" i="3"/>
  <c r="M25" i="3" s="1"/>
  <c r="N25" i="3" s="1"/>
  <c r="H18" i="5"/>
  <c r="I32" i="3"/>
  <c r="M32" i="3" s="1"/>
  <c r="N32" i="3" s="1"/>
  <c r="I33" i="3"/>
  <c r="M33" i="3" s="1"/>
  <c r="N33" i="3" s="1"/>
  <c r="I22" i="3"/>
  <c r="M22" i="3" s="1"/>
  <c r="N22" i="3" s="1"/>
  <c r="C30" i="4" l="1"/>
  <c r="G30" i="4" s="1"/>
  <c r="C30" i="5"/>
  <c r="G30" i="5" s="1"/>
  <c r="C32" i="4"/>
  <c r="G32" i="4" s="1"/>
  <c r="C32" i="5"/>
  <c r="G32" i="5" s="1"/>
  <c r="C25" i="5"/>
  <c r="G25" i="5" s="1"/>
  <c r="C25" i="4"/>
  <c r="G25" i="4" s="1"/>
  <c r="C29" i="4"/>
  <c r="G29" i="4" s="1"/>
  <c r="C29" i="5"/>
  <c r="G29" i="5" s="1"/>
  <c r="C23" i="5"/>
  <c r="G23" i="5" s="1"/>
  <c r="C23" i="4"/>
  <c r="G23" i="4" s="1"/>
  <c r="C19" i="5"/>
  <c r="G19" i="5" s="1"/>
  <c r="C19" i="4"/>
  <c r="G19" i="4" s="1"/>
  <c r="C26" i="4"/>
  <c r="G26" i="4" s="1"/>
  <c r="C26" i="5"/>
  <c r="G26" i="5" s="1"/>
  <c r="C21" i="4"/>
  <c r="G21" i="4" s="1"/>
  <c r="C21" i="5"/>
  <c r="G21" i="5" s="1"/>
  <c r="C31" i="4"/>
  <c r="G31" i="4" s="1"/>
  <c r="C31" i="5"/>
  <c r="G31" i="5" s="1"/>
  <c r="C28" i="5"/>
  <c r="G28" i="5" s="1"/>
  <c r="C28" i="4"/>
  <c r="G28" i="4" s="1"/>
  <c r="C20" i="5"/>
  <c r="G20" i="5" s="1"/>
  <c r="C20" i="4"/>
  <c r="G20" i="4" s="1"/>
  <c r="C33" i="5"/>
  <c r="G33" i="5" s="1"/>
  <c r="C33" i="4"/>
  <c r="G33" i="4" s="1"/>
  <c r="C24" i="4"/>
  <c r="G24" i="4" s="1"/>
  <c r="C24" i="5"/>
  <c r="G24" i="5" s="1"/>
  <c r="C22" i="5"/>
  <c r="G22" i="5" s="1"/>
  <c r="C22" i="4"/>
  <c r="G22" i="4" s="1"/>
  <c r="C27" i="5"/>
  <c r="G27" i="5" s="1"/>
  <c r="C27" i="4"/>
  <c r="G27" i="4" s="1"/>
  <c r="G46" i="5" l="1"/>
  <c r="H27" i="5"/>
  <c r="G52" i="4"/>
  <c r="H33" i="4"/>
  <c r="K26" i="4"/>
  <c r="G45" i="4"/>
  <c r="H26" i="4"/>
  <c r="G52" i="5"/>
  <c r="H33" i="5"/>
  <c r="G49" i="5"/>
  <c r="H30" i="5"/>
  <c r="G50" i="4"/>
  <c r="H31" i="4"/>
  <c r="G38" i="4"/>
  <c r="H19" i="4"/>
  <c r="G49" i="4"/>
  <c r="H30" i="4"/>
  <c r="G41" i="5"/>
  <c r="H22" i="5"/>
  <c r="G39" i="4"/>
  <c r="H20" i="4"/>
  <c r="G38" i="5"/>
  <c r="H19" i="5"/>
  <c r="K25" i="4"/>
  <c r="G44" i="4"/>
  <c r="H25" i="4"/>
  <c r="G39" i="5"/>
  <c r="H20" i="5"/>
  <c r="G40" i="5"/>
  <c r="H21" i="5"/>
  <c r="K25" i="5"/>
  <c r="L25" i="5" s="1"/>
  <c r="G44" i="5"/>
  <c r="H25" i="5"/>
  <c r="G48" i="5"/>
  <c r="H29" i="5"/>
  <c r="G50" i="5"/>
  <c r="H31" i="5"/>
  <c r="G48" i="4"/>
  <c r="H29" i="4"/>
  <c r="G41" i="4"/>
  <c r="H22" i="4"/>
  <c r="G43" i="5"/>
  <c r="H24" i="5"/>
  <c r="G40" i="4"/>
  <c r="H21" i="4"/>
  <c r="G42" i="4"/>
  <c r="H23" i="4"/>
  <c r="G43" i="4"/>
  <c r="H24" i="4"/>
  <c r="G47" i="4"/>
  <c r="H28" i="4"/>
  <c r="G42" i="5"/>
  <c r="H23" i="5"/>
  <c r="G51" i="5"/>
  <c r="H32" i="5"/>
  <c r="G46" i="4"/>
  <c r="H27" i="4"/>
  <c r="G47" i="5"/>
  <c r="H28" i="5"/>
  <c r="K26" i="5"/>
  <c r="L26" i="5" s="1"/>
  <c r="G45" i="5"/>
  <c r="H26" i="5"/>
  <c r="G51" i="4"/>
  <c r="H32" i="4"/>
  <c r="L25" i="4" l="1"/>
  <c r="M25" i="4" s="1"/>
  <c r="N25" i="5"/>
  <c r="M25" i="5"/>
  <c r="L26" i="4"/>
  <c r="M26" i="4" s="1"/>
  <c r="M26" i="5"/>
  <c r="N26" i="5"/>
  <c r="N26" i="4" a="1"/>
  <c r="Q26" i="4" a="1"/>
  <c r="R26" i="5" a="1"/>
  <c r="O26" i="5" a="1"/>
  <c r="R25" i="5" a="1"/>
  <c r="O25" i="5" a="1"/>
  <c r="N25" i="4" a="1"/>
  <c r="Q25" i="4" a="1"/>
  <c r="Q25" i="4" l="1"/>
  <c r="R25" i="4" s="1"/>
  <c r="N25" i="4"/>
  <c r="O25" i="4" s="1"/>
  <c r="O25" i="5"/>
  <c r="P25" i="5" s="1"/>
  <c r="R25" i="5"/>
  <c r="S25" i="5" s="1"/>
  <c r="O26" i="5"/>
  <c r="P26" i="5" s="1"/>
  <c r="R26" i="5"/>
  <c r="S26" i="5" s="1"/>
  <c r="Q26" i="4"/>
  <c r="R26" i="4" s="1"/>
  <c r="N26" i="4"/>
  <c r="O26" i="4" s="1"/>
  <c r="S26" i="4" l="1"/>
  <c r="U25" i="5"/>
  <c r="V25" i="5" s="1"/>
  <c r="Q25" i="5"/>
  <c r="P26" i="4"/>
  <c r="T26" i="4"/>
  <c r="T25" i="5"/>
  <c r="S25" i="4"/>
  <c r="U26" i="5"/>
  <c r="Q26" i="5"/>
  <c r="P25" i="4"/>
  <c r="T25" i="4"/>
  <c r="T26" i="5"/>
  <c r="U25" i="4" l="1"/>
  <c r="V25" i="4" s="1"/>
  <c r="V26" i="5"/>
  <c r="U26" i="4"/>
  <c r="V26" i="4" s="1"/>
  <c r="X25" i="5"/>
  <c r="W25" i="5"/>
  <c r="Z26" i="4" a="1"/>
  <c r="W26" i="4" a="1"/>
  <c r="Y25" i="5" a="1"/>
  <c r="AB25" i="5" a="1"/>
  <c r="Z25" i="4" a="1"/>
  <c r="W25" i="4" a="1"/>
  <c r="W25" i="4" l="1"/>
  <c r="X25" i="4" s="1"/>
  <c r="Z25" i="4"/>
  <c r="AA25" i="4" s="1"/>
  <c r="AB25" i="5"/>
  <c r="AC25" i="5" s="1"/>
  <c r="Y25" i="5"/>
  <c r="Z25" i="5" s="1"/>
  <c r="AA25" i="5" s="1"/>
  <c r="W26" i="4"/>
  <c r="X26" i="4" s="1"/>
  <c r="Z26" i="4"/>
  <c r="AA26" i="4" s="1"/>
  <c r="W26" i="5"/>
  <c r="X26" i="5"/>
  <c r="AB26" i="5" a="1"/>
  <c r="Y26" i="5" a="1"/>
  <c r="AB25" i="4" l="1"/>
  <c r="AE25" i="5"/>
  <c r="AF25" i="5" s="1"/>
  <c r="AH25" i="5" s="1"/>
  <c r="Y26" i="5"/>
  <c r="Z26" i="5" s="1"/>
  <c r="AA26" i="5" s="1"/>
  <c r="AB26" i="5"/>
  <c r="AC26" i="5" s="1"/>
  <c r="Y26" i="4"/>
  <c r="AC26" i="4"/>
  <c r="AD26" i="4" s="1"/>
  <c r="AE26" i="4" s="1"/>
  <c r="AB26" i="4"/>
  <c r="AD25" i="5"/>
  <c r="Y25" i="4"/>
  <c r="AC25" i="4"/>
  <c r="AL25" i="5" a="1"/>
  <c r="AI25" i="5" a="1"/>
  <c r="AI26" i="4" a="1"/>
  <c r="AF26" i="4" a="1"/>
  <c r="AG25" i="5" l="1"/>
  <c r="AI25" i="5"/>
  <c r="AJ25" i="5" s="1"/>
  <c r="AO25" i="5" s="1"/>
  <c r="AP25" i="5" s="1"/>
  <c r="AQ25" i="5" s="1"/>
  <c r="AL25" i="5"/>
  <c r="AM25" i="5" s="1"/>
  <c r="AE26" i="5"/>
  <c r="AF26" i="5" s="1"/>
  <c r="AG26" i="5" s="1"/>
  <c r="AF26" i="4"/>
  <c r="AG26" i="4" s="1"/>
  <c r="AI26" i="4"/>
  <c r="AJ26" i="4" s="1"/>
  <c r="AK26" i="4"/>
  <c r="AD26" i="5"/>
  <c r="AH26" i="5"/>
  <c r="AD25" i="4"/>
  <c r="AE25" i="4" s="1"/>
  <c r="AL26" i="5" a="1"/>
  <c r="AI26" i="5" a="1"/>
  <c r="AF25" i="4" a="1"/>
  <c r="AI25" i="4" a="1"/>
  <c r="AN25" i="5" l="1"/>
  <c r="AK25" i="5"/>
  <c r="AI25" i="4"/>
  <c r="AJ25" i="4" s="1"/>
  <c r="AF25" i="4"/>
  <c r="AG25" i="4" s="1"/>
  <c r="AI26" i="5"/>
  <c r="AJ26" i="5" s="1"/>
  <c r="AK26" i="5" s="1"/>
  <c r="AL26" i="5"/>
  <c r="AM26" i="5" s="1"/>
  <c r="AL26" i="4"/>
  <c r="AH26" i="4"/>
  <c r="AR25" i="5"/>
  <c r="AV25" i="5" a="1"/>
  <c r="AS25" i="5" a="1"/>
  <c r="AO26" i="5" l="1"/>
  <c r="AP26" i="5" s="1"/>
  <c r="AN26" i="5"/>
  <c r="AS25" i="5"/>
  <c r="AT25" i="5" s="1"/>
  <c r="AU25" i="5" s="1"/>
  <c r="AV25" i="5"/>
  <c r="AW25" i="5" s="1"/>
  <c r="AM26" i="4"/>
  <c r="AN26" i="4" s="1"/>
  <c r="AH25" i="4"/>
  <c r="AL25" i="4"/>
  <c r="AK25" i="4"/>
  <c r="AR26" i="4" a="1"/>
  <c r="AO26" i="4" a="1"/>
  <c r="AO26" i="4" l="1"/>
  <c r="AP26" i="4" s="1"/>
  <c r="AR26" i="4"/>
  <c r="AS26" i="4" s="1"/>
  <c r="AQ26" i="5"/>
  <c r="AR26" i="5"/>
  <c r="AM25" i="4"/>
  <c r="AN25" i="4" s="1"/>
  <c r="AX25" i="5"/>
  <c r="AY25" i="5"/>
  <c r="AZ25" i="5" s="1"/>
  <c r="AS26" i="5" a="1"/>
  <c r="AV26" i="5" a="1"/>
  <c r="AO25" i="4" a="1"/>
  <c r="AR25" i="4" a="1"/>
  <c r="AR25" i="4" l="1"/>
  <c r="AS25" i="4" s="1"/>
  <c r="AO25" i="4"/>
  <c r="AP25" i="4" s="1"/>
  <c r="AV26" i="5"/>
  <c r="AW26" i="5" s="1"/>
  <c r="AS26" i="5"/>
  <c r="AT26" i="5" s="1"/>
  <c r="AU26" i="5" s="1"/>
  <c r="AQ26" i="4"/>
  <c r="AU26" i="4"/>
  <c r="AV26" i="4" s="1"/>
  <c r="AW26" i="4" s="1"/>
  <c r="AT26" i="4"/>
  <c r="BB25" i="5"/>
  <c r="BA25" i="5"/>
  <c r="AX26" i="4" a="1"/>
  <c r="BA26" i="4" a="1"/>
  <c r="BF25" i="5" a="1"/>
  <c r="BC25" i="5" a="1"/>
  <c r="AY26" i="5" l="1"/>
  <c r="AZ26" i="5" s="1"/>
  <c r="AX26" i="5"/>
  <c r="BA26" i="4"/>
  <c r="BB26" i="4" s="1"/>
  <c r="AX26" i="4"/>
  <c r="AY26" i="4" s="1"/>
  <c r="AZ26" i="4" s="1"/>
  <c r="AT25" i="4"/>
  <c r="AQ25" i="4"/>
  <c r="AU25" i="4"/>
  <c r="AV25" i="4" s="1"/>
  <c r="AW25" i="4" s="1"/>
  <c r="BC25" i="5"/>
  <c r="BD25" i="5" s="1"/>
  <c r="BE25" i="5" s="1"/>
  <c r="BF25" i="5"/>
  <c r="BG25" i="5" s="1"/>
  <c r="BA25" i="4" a="1"/>
  <c r="AX25" i="4" a="1"/>
  <c r="AX25" i="4" l="1"/>
  <c r="AY25" i="4" s="1"/>
  <c r="AZ25" i="4" s="1"/>
  <c r="BA25" i="4"/>
  <c r="BB25" i="4" s="1"/>
  <c r="BB26" i="5"/>
  <c r="BA26" i="5"/>
  <c r="BC26" i="4"/>
  <c r="BH25" i="5"/>
  <c r="BI25" i="5"/>
  <c r="BC26" i="5" a="1"/>
  <c r="BF26" i="5" a="1"/>
  <c r="BF26" i="5" l="1"/>
  <c r="BG26" i="5" s="1"/>
  <c r="BC26" i="5"/>
  <c r="BD26" i="5" s="1"/>
  <c r="BE26" i="5" s="1"/>
  <c r="BH26" i="5"/>
  <c r="BC25" i="4"/>
  <c r="BJ25" i="5"/>
  <c r="BI26" i="5" l="1"/>
  <c r="BL25" i="5"/>
  <c r="BK25" i="5"/>
  <c r="BM25" i="5" a="1"/>
  <c r="BP25" i="5" a="1"/>
  <c r="BJ26" i="5" l="1"/>
  <c r="BP25" i="5"/>
  <c r="BQ25" i="5" s="1"/>
  <c r="BM25" i="5"/>
  <c r="BN25" i="5" s="1"/>
  <c r="BO25" i="5" s="1"/>
  <c r="BL26" i="5" l="1"/>
  <c r="BK26" i="5"/>
  <c r="BR25" i="5"/>
  <c r="BS25" i="5"/>
  <c r="BP26" i="5" a="1"/>
  <c r="BM26" i="5" a="1"/>
  <c r="BM26" i="5" l="1"/>
  <c r="BN26" i="5" s="1"/>
  <c r="BO26" i="5" s="1"/>
  <c r="BP26" i="5"/>
  <c r="BQ26" i="5" s="1"/>
  <c r="BT25" i="5"/>
  <c r="BR26" i="5" l="1"/>
  <c r="BS26" i="5"/>
  <c r="BT26" i="5" s="1"/>
  <c r="BU25" i="5"/>
  <c r="BV25" i="5"/>
  <c r="BZ25" i="5" a="1"/>
  <c r="BW25" i="5" a="1"/>
  <c r="BU26" i="5" l="1"/>
  <c r="BV26" i="5"/>
  <c r="BW25" i="5"/>
  <c r="BX25" i="5" s="1"/>
  <c r="BY25" i="5" s="1"/>
  <c r="BZ25" i="5"/>
  <c r="CA25" i="5" s="1"/>
  <c r="BZ26" i="5" a="1"/>
  <c r="BW26" i="5" a="1"/>
  <c r="BW26" i="5" l="1"/>
  <c r="BX26" i="5" s="1"/>
  <c r="BY26" i="5" s="1"/>
  <c r="BZ26" i="5"/>
  <c r="CA26" i="5" s="1"/>
  <c r="CB25" i="5"/>
  <c r="CC25" i="5"/>
  <c r="CB26" i="5" l="1"/>
  <c r="CC26" i="5"/>
  <c r="CD26" i="5" s="1"/>
  <c r="CD25" i="5"/>
  <c r="CE26" i="5" l="1"/>
  <c r="CF26" i="5"/>
  <c r="CF25" i="5"/>
  <c r="CE25" i="5"/>
  <c r="CJ26" i="5" a="1"/>
  <c r="CG26" i="5" a="1"/>
  <c r="CJ25" i="5" a="1"/>
  <c r="CG25" i="5" a="1"/>
  <c r="CG26" i="5" l="1"/>
  <c r="CH26" i="5" s="1"/>
  <c r="CI26" i="5" s="1"/>
  <c r="CJ26" i="5"/>
  <c r="CK26" i="5" s="1"/>
  <c r="CG25" i="5"/>
  <c r="CH25" i="5" s="1"/>
  <c r="CI25" i="5" s="1"/>
  <c r="CJ25" i="5"/>
  <c r="CK25" i="5" s="1"/>
  <c r="CL25" i="5" l="1"/>
  <c r="CM26" i="5"/>
  <c r="CN26" i="5" s="1"/>
  <c r="CP26" i="5" s="1"/>
  <c r="CL26" i="5"/>
  <c r="CM25" i="5"/>
  <c r="CQ26" i="5" a="1"/>
  <c r="CT26" i="5" a="1"/>
  <c r="CO26" i="5" l="1"/>
  <c r="CT26" i="5"/>
  <c r="CU26" i="5" s="1"/>
  <c r="CQ26" i="5"/>
  <c r="CR26" i="5" s="1"/>
  <c r="CN25" i="5"/>
  <c r="CV26" i="5" l="1"/>
  <c r="CS26" i="5"/>
  <c r="CW26" i="5"/>
  <c r="CX26" i="5" s="1"/>
  <c r="CP25" i="5"/>
  <c r="CO25" i="5"/>
  <c r="CQ25" i="5" a="1"/>
  <c r="CT25" i="5" a="1"/>
  <c r="CY26" i="5" l="1"/>
  <c r="CZ26" i="5"/>
  <c r="CT25" i="5"/>
  <c r="CU25" i="5" s="1"/>
  <c r="CQ25" i="5"/>
  <c r="CR25" i="5" s="1"/>
  <c r="CS25" i="5" s="1"/>
  <c r="DD26" i="5" a="1"/>
  <c r="DA26" i="5" a="1"/>
  <c r="DA26" i="5" l="1"/>
  <c r="DB26" i="5" s="1"/>
  <c r="DD26" i="5"/>
  <c r="CV25" i="5"/>
  <c r="CW25" i="5"/>
  <c r="DC26" i="5" l="1"/>
  <c r="DG26" i="5"/>
  <c r="DH26" i="5" s="1"/>
  <c r="DE26" i="5"/>
  <c r="DF26" i="5"/>
  <c r="CX25" i="5"/>
  <c r="DJ26" i="5" l="1"/>
  <c r="DI26" i="5"/>
  <c r="CY25" i="5"/>
  <c r="CZ25" i="5"/>
  <c r="DN26" i="5" a="1"/>
  <c r="DK26" i="5" a="1"/>
  <c r="DA25" i="5" a="1"/>
  <c r="DD25" i="5" a="1"/>
  <c r="DK26" i="5" l="1"/>
  <c r="DL26" i="5" s="1"/>
  <c r="DM26" i="5" s="1"/>
  <c r="DN26" i="5"/>
  <c r="DO26" i="5" s="1"/>
  <c r="DP26" i="5"/>
  <c r="DD25" i="5"/>
  <c r="DE25" i="5" s="1"/>
  <c r="DA25" i="5"/>
  <c r="DB25" i="5" s="1"/>
  <c r="DC25" i="5" s="1"/>
  <c r="DF25" i="5" l="1"/>
  <c r="DG25" i="5"/>
  <c r="DH25" i="5" s="1"/>
  <c r="DI25" i="5" l="1"/>
  <c r="DJ25" i="5"/>
  <c r="DK25" i="5" a="1"/>
  <c r="DN25" i="5" a="1"/>
  <c r="DN25" i="5" l="1"/>
  <c r="DO25" i="5" s="1"/>
  <c r="DK25" i="5"/>
  <c r="DL25" i="5" s="1"/>
  <c r="DM25" i="5" s="1"/>
  <c r="DP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<sst xmlns="http://schemas.openxmlformats.org/spreadsheetml/2006/main" count="278" uniqueCount="63">
  <si>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</si>
  <si>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</si>
  <si>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</si>
  <si>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</si>
  <si>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</si>
  <si>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</si>
  <si>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</si>
  <si>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</si>
  <si>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</si>
  <si>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</si>
  <si>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</si>
  <si>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</si>
  <si>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</si>
  <si>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</si>
  <si>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</si>
  <si>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</si>
  <si>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</si>
  <si>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</si>
  <si>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</si>
  <si>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</si>
  <si>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</si>
  <si>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</si>
  <si>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</si>
  <si>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</si>
  <si>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</si>
  <si>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</si>
  <si>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</si>
  <si>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</si>
  <si>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</si>
  <si>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</si>
  <si>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</si>
  <si>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</si>
  <si>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</si>
  <si>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</si>
  <si>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</si>
  <si>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</si>
  <si>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</si>
  <si>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</si>
  <si>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</si>
  <si>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</si>
  <si>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</si>
  <si>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</si>
  <si>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</si>
  <si>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</si>
  <si>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</si>
  <si>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</si>
  <si>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</si>
  <si>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</si>
  <si>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</si>
  <si>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</si>
  <si>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</si>
  <si>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</si>
  <si>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</si>
  <si>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</si>
  <si>
    <t>m</t>
  </si>
  <si>
    <t>Impeller (OD)</t>
  </si>
  <si>
    <t>Suction (ED)</t>
  </si>
  <si>
    <t>Discharge (DD)</t>
  </si>
  <si>
    <t>Design Velocity</t>
  </si>
  <si>
    <t>s.g.</t>
  </si>
  <si>
    <t>kW</t>
  </si>
  <si>
    <t>ft/sec =</t>
  </si>
  <si>
    <t>m/sec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</si>
</sst>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5" formatCode="0.00000"/>
    <numFmt numFmtId="166" formatCode="0.0000"/>
    <numFmt numFmtId="167" formatCode="0.000"/>
    <numFmt numFmtId="168" formatCode="0.000000"/>
    <numFmt numFmtId="169" formatCode="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6" fontId="0" fillId="0" borderId="0" xfId="0" applyNumberFormat="1" applyFill="1"/>
    <xf numFmtId="168" fontId="0" fillId="0" borderId="0" xfId="0" applyNumberFormat="1"/>
    <xf numFmtId="166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68" fontId="0" fillId="2" borderId="0" xfId="0" applyNumberFormat="1" applyFill="1"/>
    <xf numFmtId="167" fontId="0" fillId="2" borderId="0" xfId="0" applyNumberFormat="1" applyFill="1"/>
    <xf numFmtId="169" fontId="0" fillId="0" borderId="0" xfId="0" applyNumberFormat="1"/>
    <xf numFmtId="168" fontId="0" fillId="0" borderId="0" xfId="0" applyNumberFormat="1" applyFill="1"/>
    <xf numFmtId="166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 applyFill="1"/>
    <xf numFmtId="2" fontId="2" fillId="0" borderId="0" xfId="0" applyNumberFormat="1" applyFont="1"/>
    <xf numFmtId="168" fontId="2" fillId="0" borderId="0" xfId="0" applyNumberFormat="1" applyFont="1" applyFill="1"/>
    <xf numFmtId="164" fontId="2" fillId="0" borderId="0" xfId="1" applyNumberFormat="1" applyFont="1"/>
    <xf numFmtId="166" fontId="2" fillId="2" borderId="0" xfId="0" applyNumberFormat="1" applyFont="1" applyFill="1"/>
    <xf numFmtId="165" fontId="2" fillId="2" borderId="0" xfId="0" applyNumberFormat="1" applyFont="1" applyFill="1"/>
    <xf numFmtId="2" fontId="2" fillId="2" borderId="0" xfId="0" applyNumberFormat="1" applyFont="1" applyFill="1"/>
    <xf numFmtId="168" fontId="2" fillId="2" borderId="0" xfId="0" applyNumberFormat="1" applyFont="1" applyFill="1"/>
    <xf numFmtId="167" fontId="2" fillId="2" borderId="0" xfId="0" applyNumberFormat="1" applyFont="1" applyFill="1"/>
    <xf numFmtId="164" fontId="2" fillId="2" borderId="0" xfId="1" applyNumberFormat="1" applyFont="1" applyFill="1"/>
    <xf numFmtId="167" fontId="2" fillId="0" borderId="0" xfId="0" applyNumberFormat="1" applyFont="1"/>
  </cellXfs>
  <cellStyles count="2">
    <cellStyle name="Normal" xfId="0" builtinId="0"/>
    <cellStyle name="Percent" xfId="1" builtinId="5"/>
  </cellStyles>
  <dxfs count="69"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'V-C'!$A$21:$A$46</c:f>
              <c:numCache>
                <c:formatCode>General</c:formatCode>
                <c:ptCount val="26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</c:numCache>
            </c:numRef>
          </c:xVal>
          <c:yVal>
            <c:numRef>
              <c:f>'V-C'!$B$21:$B$46</c:f>
              <c:numCache>
                <c:formatCode>General</c:formatCode>
                <c:ptCount val="26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Example'!$F$19:$F$34</c:f>
              <c:numCache>
                <c:formatCode>General</c:formatCode>
                <c:ptCount val="16"/>
                <c:pt idx="0">
                  <c:v>128.77954722775996</c:v>
                </c:pt>
                <c:pt idx="1">
                  <c:v>126.46893477175057</c:v>
                </c:pt>
                <c:pt idx="2">
                  <c:v>124.91004010607162</c:v>
                </c:pt>
                <c:pt idx="3">
                  <c:v>123.6743409742791</c:v>
                </c:pt>
                <c:pt idx="4">
                  <c:v>122.43118395228331</c:v>
                </c:pt>
                <c:pt idx="5">
                  <c:v>120.93469108976373</c:v>
                </c:pt>
                <c:pt idx="6">
                  <c:v>119.02138404467523</c:v>
                </c:pt>
                <c:pt idx="7">
                  <c:v>116.61025983489759</c:v>
                </c:pt>
                <c:pt idx="8">
                  <c:v>115.21464999837222</c:v>
                </c:pt>
                <c:pt idx="9">
                  <c:v>113.69987509120999</c:v>
                </c:pt>
                <c:pt idx="10">
                  <c:v>110.35978003000319</c:v>
                </c:pt>
                <c:pt idx="11">
                  <c:v>106.71641287455861</c:v>
                </c:pt>
                <c:pt idx="12">
                  <c:v>102.93579120384601</c:v>
                </c:pt>
                <c:pt idx="13">
                  <c:v>99.206505420777461</c:v>
                </c:pt>
                <c:pt idx="14">
                  <c:v>95.726532788328342</c:v>
                </c:pt>
                <c:pt idx="15">
                  <c:v>92.696641423399427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Example'!$H$19:$H$34</c:f>
              <c:numCache>
                <c:formatCode>General</c:formatCode>
                <c:ptCount val="16"/>
                <c:pt idx="0">
                  <c:v>43.471517658386432</c:v>
                </c:pt>
                <c:pt idx="1">
                  <c:v>57.136638781689797</c:v>
                </c:pt>
                <c:pt idx="2">
                  <c:v>65.230903000595958</c:v>
                </c:pt>
                <c:pt idx="3">
                  <c:v>70.503348504058778</c:v>
                </c:pt>
                <c:pt idx="4">
                  <c:v>74.049956812797532</c:v>
                </c:pt>
                <c:pt idx="5">
                  <c:v>76.416614342012053</c:v>
                </c:pt>
                <c:pt idx="6">
                  <c:v>77.886222012421285</c:v>
                </c:pt>
                <c:pt idx="7">
                  <c:v>78.592428816756097</c:v>
                </c:pt>
                <c:pt idx="8">
                  <c:v>78.675476324181176</c:v>
                </c:pt>
                <c:pt idx="9">
                  <c:v>78.579807100327557</c:v>
                </c:pt>
                <c:pt idx="10">
                  <c:v>77.845204100525336</c:v>
                </c:pt>
                <c:pt idx="11">
                  <c:v>76.373004729040559</c:v>
                </c:pt>
                <c:pt idx="12">
                  <c:v>74.168588299117602</c:v>
                </c:pt>
                <c:pt idx="13">
                  <c:v>71.289339896817808</c:v>
                </c:pt>
                <c:pt idx="14">
                  <c:v>67.869078368827161</c:v>
                </c:pt>
                <c:pt idx="15">
                  <c:v>64.129968002744761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Example'!$I$19:$I$34</c:f>
              <c:numCache>
                <c:formatCode>General</c:formatCode>
                <c:ptCount val="16"/>
                <c:pt idx="0">
                  <c:v>423.01645511610997</c:v>
                </c:pt>
                <c:pt idx="1">
                  <c:v>632.14155154173</c:v>
                </c:pt>
                <c:pt idx="2">
                  <c:v>820.31448815779402</c:v>
                </c:pt>
                <c:pt idx="3">
                  <c:v>1001.9476297128465</c:v>
                </c:pt>
                <c:pt idx="4">
                  <c:v>1180.4630947101639</c:v>
                </c:pt>
                <c:pt idx="5">
                  <c:v>1355.9058290788801</c:v>
                </c:pt>
                <c:pt idx="6">
                  <c:v>1527.4871589926445</c:v>
                </c:pt>
                <c:pt idx="7">
                  <c:v>1694.9668537855787</c:v>
                </c:pt>
                <c:pt idx="8">
                  <c:v>1777.4705738310452</c:v>
                </c:pt>
                <c:pt idx="9">
                  <c:v>1859.5450693070416</c:v>
                </c:pt>
                <c:pt idx="10">
                  <c:v>2024.3897726980988</c:v>
                </c:pt>
                <c:pt idx="11">
                  <c:v>2194.8214530168143</c:v>
                </c:pt>
                <c:pt idx="12">
                  <c:v>2378.1695287931802</c:v>
                </c:pt>
                <c:pt idx="13">
                  <c:v>2583.2954600789976</c:v>
                </c:pt>
                <c:pt idx="14">
                  <c:v>2819.7044069186713</c:v>
                </c:pt>
                <c:pt idx="15">
                  <c:v>3096.0602601604819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315.44337058008324</c:v>
                </c:pt>
                <c:pt idx="1">
                  <c:v>471.38795498466806</c:v>
                </c:pt>
                <c:pt idx="2">
                  <c:v>611.70851381926707</c:v>
                </c:pt>
                <c:pt idx="3">
                  <c:v>747.15234747686964</c:v>
                </c:pt>
                <c:pt idx="4">
                  <c:v>880.27132972536924</c:v>
                </c:pt>
                <c:pt idx="5">
                  <c:v>1011.0989767441209</c:v>
                </c:pt>
                <c:pt idx="6">
                  <c:v>1139.0471744608151</c:v>
                </c:pt>
                <c:pt idx="7">
                  <c:v>1263.936782867906</c:v>
                </c:pt>
                <c:pt idx="8">
                  <c:v>1325.4598069058104</c:v>
                </c:pt>
                <c:pt idx="9">
                  <c:v>1386.6627581822609</c:v>
                </c:pt>
                <c:pt idx="10">
                  <c:v>1509.5874535009723</c:v>
                </c:pt>
                <c:pt idx="11">
                  <c:v>1636.6783575146385</c:v>
                </c:pt>
                <c:pt idx="12">
                  <c:v>1773.4010176210745</c:v>
                </c:pt>
                <c:pt idx="13">
                  <c:v>1926.3634245809087</c:v>
                </c:pt>
                <c:pt idx="14">
                  <c:v>2102.6535762392532</c:v>
                </c:pt>
                <c:pt idx="15">
                  <c:v>2308.7321360016713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3.3886146852826431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1447.9270113894167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39.252005995021236</c:v>
                </c:pt>
                <c:pt idx="1">
                  <c:v>38.547731318429577</c:v>
                </c:pt>
                <c:pt idx="2">
                  <c:v>38.072580224330629</c:v>
                </c:pt>
                <c:pt idx="3">
                  <c:v>37.695939128960276</c:v>
                </c:pt>
                <c:pt idx="4">
                  <c:v>37.317024868655956</c:v>
                </c:pt>
                <c:pt idx="5">
                  <c:v>36.860893844159989</c:v>
                </c:pt>
                <c:pt idx="6">
                  <c:v>36.277717856817013</c:v>
                </c:pt>
                <c:pt idx="7">
                  <c:v>35.542807197676787</c:v>
                </c:pt>
                <c:pt idx="8">
                  <c:v>35.117425319503859</c:v>
                </c:pt>
                <c:pt idx="9">
                  <c:v>34.655721927800805</c:v>
                </c:pt>
                <c:pt idx="10">
                  <c:v>33.637660953144973</c:v>
                </c:pt>
                <c:pt idx="11">
                  <c:v>32.527162644165465</c:v>
                </c:pt>
                <c:pt idx="12">
                  <c:v>31.374829158932265</c:v>
                </c:pt>
                <c:pt idx="13">
                  <c:v>30.23814285225297</c:v>
                </c:pt>
                <c:pt idx="14">
                  <c:v>29.177447193882479</c:v>
                </c:pt>
                <c:pt idx="15">
                  <c:v>28.253936305852147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3.3886146852826431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34.148332056547289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315.44337058008324</c:v>
                </c:pt>
                <c:pt idx="1">
                  <c:v>471.38795498466806</c:v>
                </c:pt>
                <c:pt idx="2">
                  <c:v>611.70851381926707</c:v>
                </c:pt>
                <c:pt idx="3">
                  <c:v>747.15234747686964</c:v>
                </c:pt>
                <c:pt idx="4">
                  <c:v>880.27132972536924</c:v>
                </c:pt>
                <c:pt idx="5">
                  <c:v>1011.0989767441209</c:v>
                </c:pt>
                <c:pt idx="6">
                  <c:v>1139.0471744608151</c:v>
                </c:pt>
                <c:pt idx="7">
                  <c:v>1263.936782867906</c:v>
                </c:pt>
                <c:pt idx="8">
                  <c:v>1325.4598069058104</c:v>
                </c:pt>
                <c:pt idx="9">
                  <c:v>1386.6627581822609</c:v>
                </c:pt>
                <c:pt idx="10">
                  <c:v>1509.5874535009723</c:v>
                </c:pt>
                <c:pt idx="11">
                  <c:v>1636.6783575146385</c:v>
                </c:pt>
                <c:pt idx="12">
                  <c:v>1773.4010176210745</c:v>
                </c:pt>
                <c:pt idx="13">
                  <c:v>1926.3634245809087</c:v>
                </c:pt>
                <c:pt idx="14">
                  <c:v>2102.6535762392532</c:v>
                </c:pt>
                <c:pt idx="15">
                  <c:v>2308.7321360016713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3.3886146852826431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1447.9270113894167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39.252005995021236</c:v>
                </c:pt>
                <c:pt idx="1">
                  <c:v>38.547731318429577</c:v>
                </c:pt>
                <c:pt idx="2">
                  <c:v>38.072580224330629</c:v>
                </c:pt>
                <c:pt idx="3">
                  <c:v>37.695939128960276</c:v>
                </c:pt>
                <c:pt idx="4">
                  <c:v>37.317024868655956</c:v>
                </c:pt>
                <c:pt idx="5">
                  <c:v>36.860893844159989</c:v>
                </c:pt>
                <c:pt idx="6">
                  <c:v>36.277717856817013</c:v>
                </c:pt>
                <c:pt idx="7">
                  <c:v>35.542807197676787</c:v>
                </c:pt>
                <c:pt idx="8">
                  <c:v>35.117425319503859</c:v>
                </c:pt>
                <c:pt idx="9">
                  <c:v>34.655721927800805</c:v>
                </c:pt>
                <c:pt idx="10">
                  <c:v>33.637660953144973</c:v>
                </c:pt>
                <c:pt idx="11">
                  <c:v>32.527162644165465</c:v>
                </c:pt>
                <c:pt idx="12">
                  <c:v>31.374829158932265</c:v>
                </c:pt>
                <c:pt idx="13">
                  <c:v>30.23814285225297</c:v>
                </c:pt>
                <c:pt idx="14">
                  <c:v>29.177447193882479</c:v>
                </c:pt>
                <c:pt idx="15">
                  <c:v>28.253936305852147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3.3886146852826431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34.148332056547289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44450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20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B46"/>
  <sheetViews>
    <sheetView topLeftCell="A7" workbookViewId="0">
      <selection activeCell="O8" sqref="O8"/>
    </sheetView>
  </sheetViews>
  <sheetFormatPr defaultRowHeight="14.5" x14ac:dyDescent="0.35"/>
  <sheetData>
    <row r="1" spans="1:2" x14ac:dyDescent="0.35">
      <c r="A1" t="s">
        <v>0</v>
      </c>
    </row>
    <row r="2" spans="1:2" x14ac:dyDescent="0.35">
      <c r="A2" t="s">
        <v>1</v>
      </c>
    </row>
    <row r="3" spans="1:2" x14ac:dyDescent="0.35">
      <c r="A3">
        <v>4.75</v>
      </c>
      <c r="B3">
        <v>1575</v>
      </c>
    </row>
    <row r="4" spans="1:2" x14ac:dyDescent="0.35">
      <c r="A4">
        <v>9.5</v>
      </c>
      <c r="B4">
        <v>1585</v>
      </c>
    </row>
    <row r="5" spans="1:2" x14ac:dyDescent="0.35">
      <c r="A5">
        <v>14.1</v>
      </c>
      <c r="B5">
        <v>1595</v>
      </c>
    </row>
    <row r="6" spans="1:2" x14ac:dyDescent="0.35">
      <c r="A6">
        <v>17.25</v>
      </c>
      <c r="B6">
        <v>1605</v>
      </c>
    </row>
    <row r="7" spans="1:2" x14ac:dyDescent="0.35">
      <c r="A7">
        <v>19.75</v>
      </c>
      <c r="B7">
        <v>1615</v>
      </c>
    </row>
    <row r="8" spans="1:2" x14ac:dyDescent="0.35">
      <c r="A8">
        <v>22.25</v>
      </c>
      <c r="B8">
        <v>1625</v>
      </c>
    </row>
    <row r="9" spans="1:2" x14ac:dyDescent="0.35">
      <c r="A9">
        <v>24.25</v>
      </c>
      <c r="B9">
        <v>1635</v>
      </c>
    </row>
    <row r="10" spans="1:2" x14ac:dyDescent="0.35">
      <c r="A10">
        <v>26.25</v>
      </c>
      <c r="B10">
        <v>1645</v>
      </c>
    </row>
    <row r="11" spans="1:2" x14ac:dyDescent="0.35">
      <c r="A11">
        <v>28</v>
      </c>
      <c r="B11">
        <v>1655</v>
      </c>
    </row>
    <row r="12" spans="1:2" x14ac:dyDescent="0.35">
      <c r="A12">
        <v>30</v>
      </c>
      <c r="B12">
        <v>1665</v>
      </c>
    </row>
    <row r="13" spans="1:2" x14ac:dyDescent="0.35">
      <c r="A13">
        <v>31.5</v>
      </c>
      <c r="B13">
        <v>1675</v>
      </c>
    </row>
    <row r="14" spans="1:2" x14ac:dyDescent="0.35">
      <c r="A14">
        <v>32.75</v>
      </c>
      <c r="B14">
        <v>1685</v>
      </c>
    </row>
    <row r="15" spans="1:2" x14ac:dyDescent="0.35">
      <c r="A15">
        <v>33.85</v>
      </c>
      <c r="B15">
        <v>1695</v>
      </c>
    </row>
    <row r="16" spans="1:2" x14ac:dyDescent="0.35">
      <c r="A16">
        <v>35.1</v>
      </c>
      <c r="B16">
        <v>1705</v>
      </c>
    </row>
    <row r="19" spans="1:2" x14ac:dyDescent="0.35">
      <c r="A19" t="s">
        <v>3</v>
      </c>
    </row>
    <row r="20" spans="1:2" x14ac:dyDescent="0.35">
      <c r="A20" t="s">
        <v>1</v>
      </c>
    </row>
    <row r="21" spans="1:2" x14ac:dyDescent="0.35">
      <c r="A21">
        <v>3.2</v>
      </c>
      <c r="B21">
        <v>1575</v>
      </c>
    </row>
    <row r="22" spans="1:2" x14ac:dyDescent="0.35">
      <c r="A22">
        <v>6.3</v>
      </c>
      <c r="B22">
        <v>1585</v>
      </c>
    </row>
    <row r="23" spans="1:2" x14ac:dyDescent="0.35">
      <c r="A23">
        <v>9.5</v>
      </c>
      <c r="B23">
        <v>1595</v>
      </c>
    </row>
    <row r="24" spans="1:2" x14ac:dyDescent="0.35">
      <c r="A24">
        <v>11.5</v>
      </c>
      <c r="B24">
        <v>1605</v>
      </c>
    </row>
    <row r="25" spans="1:2" x14ac:dyDescent="0.35">
      <c r="A25">
        <v>13.2</v>
      </c>
      <c r="B25">
        <v>1615</v>
      </c>
    </row>
    <row r="26" spans="1:2" x14ac:dyDescent="0.35">
      <c r="A26">
        <v>14.75</v>
      </c>
      <c r="B26">
        <v>1625</v>
      </c>
    </row>
    <row r="27" spans="1:2" x14ac:dyDescent="0.35">
      <c r="A27">
        <v>16.25</v>
      </c>
      <c r="B27">
        <v>1635</v>
      </c>
    </row>
    <row r="28" spans="1:2" x14ac:dyDescent="0.35">
      <c r="A28">
        <v>17.5</v>
      </c>
      <c r="B28">
        <v>1645</v>
      </c>
    </row>
    <row r="29" spans="1:2" x14ac:dyDescent="0.35">
      <c r="A29">
        <v>18.75</v>
      </c>
      <c r="B29">
        <v>1655</v>
      </c>
    </row>
    <row r="30" spans="1:2" x14ac:dyDescent="0.35">
      <c r="A30">
        <v>20</v>
      </c>
      <c r="B30">
        <v>1665</v>
      </c>
    </row>
    <row r="31" spans="1:2" x14ac:dyDescent="0.35">
      <c r="A31">
        <v>20.95</v>
      </c>
      <c r="B31">
        <v>1675</v>
      </c>
    </row>
    <row r="32" spans="1:2" x14ac:dyDescent="0.35">
      <c r="A32">
        <v>21.8</v>
      </c>
      <c r="B32">
        <v>1685</v>
      </c>
    </row>
    <row r="33" spans="1:2" x14ac:dyDescent="0.35">
      <c r="A33">
        <v>22.75</v>
      </c>
      <c r="B33">
        <v>1695</v>
      </c>
    </row>
    <row r="34" spans="1:2" x14ac:dyDescent="0.35">
      <c r="A34">
        <v>23.5</v>
      </c>
      <c r="B34">
        <v>1705</v>
      </c>
    </row>
    <row r="35" spans="1:2" x14ac:dyDescent="0.35">
      <c r="A35">
        <v>23.95</v>
      </c>
      <c r="B35">
        <v>1715</v>
      </c>
    </row>
    <row r="36" spans="1:2" x14ac:dyDescent="0.35">
      <c r="A36">
        <v>24.75</v>
      </c>
      <c r="B36">
        <v>1725</v>
      </c>
    </row>
    <row r="37" spans="1:2" x14ac:dyDescent="0.35">
      <c r="A37">
        <v>25.5</v>
      </c>
      <c r="B37">
        <v>1735</v>
      </c>
    </row>
    <row r="38" spans="1:2" x14ac:dyDescent="0.35">
      <c r="A38">
        <v>26.1</v>
      </c>
      <c r="B38">
        <v>1745</v>
      </c>
    </row>
    <row r="39" spans="1:2" x14ac:dyDescent="0.35">
      <c r="A39">
        <v>27.05</v>
      </c>
      <c r="B39">
        <v>1755</v>
      </c>
    </row>
    <row r="40" spans="1:2" x14ac:dyDescent="0.35">
      <c r="A40">
        <v>27.75</v>
      </c>
      <c r="B40">
        <v>1765</v>
      </c>
    </row>
    <row r="41" spans="1:2" x14ac:dyDescent="0.35">
      <c r="A41">
        <v>28.8</v>
      </c>
      <c r="B41">
        <v>1775</v>
      </c>
    </row>
    <row r="42" spans="1:2" x14ac:dyDescent="0.35">
      <c r="A42">
        <v>29.75</v>
      </c>
      <c r="B42">
        <v>1785</v>
      </c>
    </row>
    <row r="43" spans="1:2" x14ac:dyDescent="0.35">
      <c r="A43">
        <v>30.75</v>
      </c>
      <c r="B43">
        <v>1795</v>
      </c>
    </row>
    <row r="44" spans="1:2" x14ac:dyDescent="0.35">
      <c r="A44">
        <v>31.6</v>
      </c>
      <c r="B44">
        <v>1805</v>
      </c>
    </row>
    <row r="45" spans="1:2" x14ac:dyDescent="0.35">
      <c r="A45">
        <v>32.700000000000003</v>
      </c>
      <c r="B45">
        <v>1815</v>
      </c>
    </row>
    <row r="46" spans="1:2" x14ac:dyDescent="0.35">
      <c r="A46">
        <v>33.5</v>
      </c>
      <c r="B46">
        <v>1825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AB34"/>
  <sheetViews>
    <sheetView tabSelected="1" workbookViewId="0">
      <selection activeCell="J9" sqref="J9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240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240</v>
      </c>
      <c r="C6" t="s">
        <v>32</v>
      </c>
      <c r="D6" s="1">
        <f>B6/60</f>
        <v>4</v>
      </c>
      <c r="E6" t="s">
        <v>33</v>
      </c>
    </row>
    <row r="7" spans="1:28" x14ac:dyDescent="0.35">
      <c r="A7" t="s">
        <v>10</v>
      </c>
      <c r="B7">
        <f>B3*B6/229</f>
        <v>77.554585152838428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2000</v>
      </c>
      <c r="C10" t="s">
        <v>31</v>
      </c>
      <c r="D10">
        <f>B10*0.7457</f>
        <v>1491.4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1600</v>
      </c>
      <c r="C13" t="s">
        <v>31</v>
      </c>
      <c r="D13">
        <f>B13*0.7457</f>
        <v>1193.1200000000001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1565.0186399639415</v>
      </c>
      <c r="E19">
        <f>A19*PI()*($B$5/12/2)^2/0.00223</f>
        <v>5654.7102446901481</v>
      </c>
      <c r="F19">
        <f>($B$6*$B$3/D19)^2</f>
        <v>128.77954722775996</v>
      </c>
      <c r="G19">
        <f t="shared" ref="G19:G27" si="1">$B$6*E19^0.5/F19^(3/4)</f>
        <v>472.09700941345216</v>
      </c>
      <c r="H19">
        <f>0.00000000714842*G19^3 - 0.0000584345*G19^2 + 0.1267468*G19- 4.093793</f>
        <v>43.471517658386432</v>
      </c>
      <c r="I19">
        <f>F19*E19/(3960*H19/100)</f>
        <v>423.01645511610997</v>
      </c>
      <c r="K19">
        <f>E19*0.0000630902</f>
        <v>0.35675680027955037</v>
      </c>
      <c r="L19">
        <f>F19*0.3048</f>
        <v>39.252005995021236</v>
      </c>
      <c r="M19">
        <f>+I19*0.7457</f>
        <v>315.44337058008324</v>
      </c>
      <c r="N19" s="3">
        <f>$D$15*K19*L19/M19</f>
        <v>0.43549354221240544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1579.2505294061129</v>
      </c>
      <c r="E20">
        <f t="shared" ref="E20:E33" si="5">A20*PI()*($B$5/12/2)^2/0.00223</f>
        <v>11309.420489380296</v>
      </c>
      <c r="F20">
        <f t="shared" ref="F20:F34" si="6">($B$6*$B$3/D20)^2</f>
        <v>126.46893477175057</v>
      </c>
      <c r="G20">
        <f t="shared" si="1"/>
        <v>676.77377602829949</v>
      </c>
      <c r="H20">
        <f t="shared" ref="H20:H34" si="7">0.00000000714842*G20^3 - 0.0000584345*G20^2 + 0.1267468*G20- 4.093793</f>
        <v>57.136638781689797</v>
      </c>
      <c r="I20">
        <f t="shared" ref="I20:I34" si="8">F20*E20/(3960*H20/100)</f>
        <v>632.14155154173</v>
      </c>
      <c r="K20">
        <f t="shared" ref="K20:K34" si="9">E20*0.0000630902</f>
        <v>0.71351360055910074</v>
      </c>
      <c r="L20">
        <f t="shared" ref="L20:L34" si="10">F20*0.3048</f>
        <v>38.547731318429577</v>
      </c>
      <c r="M20">
        <f t="shared" ref="M20:M34" si="11">+I20*0.7457</f>
        <v>471.38795498466806</v>
      </c>
      <c r="N20" s="3">
        <f t="shared" ref="N20:N34" si="12">$D$15*K20*L20/M20</f>
        <v>0.57238942998688913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1589.0746060651927</v>
      </c>
      <c r="E21">
        <f t="shared" si="5"/>
        <v>16964.130734070444</v>
      </c>
      <c r="F21">
        <f t="shared" si="6"/>
        <v>124.91004010607162</v>
      </c>
      <c r="G21">
        <f t="shared" si="1"/>
        <v>836.62152900907267</v>
      </c>
      <c r="H21">
        <f t="shared" si="7"/>
        <v>65.230903000595958</v>
      </c>
      <c r="I21">
        <f t="shared" si="8"/>
        <v>820.31448815779402</v>
      </c>
      <c r="K21">
        <f t="shared" si="9"/>
        <v>1.070270400838651</v>
      </c>
      <c r="L21">
        <f t="shared" si="10"/>
        <v>38.072580224330629</v>
      </c>
      <c r="M21">
        <f t="shared" si="11"/>
        <v>611.70851381926707</v>
      </c>
      <c r="N21" s="3">
        <f t="shared" si="12"/>
        <v>0.65347700148589161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1596.9935387527737</v>
      </c>
      <c r="E22">
        <f t="shared" si="5"/>
        <v>22618.840978760592</v>
      </c>
      <c r="F22">
        <f t="shared" si="6"/>
        <v>123.6743409742791</v>
      </c>
      <c r="G22">
        <f t="shared" si="1"/>
        <v>973.27756315345812</v>
      </c>
      <c r="H22">
        <f t="shared" si="7"/>
        <v>70.503348504058778</v>
      </c>
      <c r="I22">
        <f t="shared" si="8"/>
        <v>1001.9476297128465</v>
      </c>
      <c r="K22">
        <f t="shared" si="9"/>
        <v>1.4270272011182015</v>
      </c>
      <c r="L22">
        <f t="shared" si="10"/>
        <v>37.695939128960276</v>
      </c>
      <c r="M22">
        <f t="shared" si="11"/>
        <v>747.15234747686964</v>
      </c>
      <c r="N22" s="3">
        <f t="shared" si="12"/>
        <v>0.70629586064025907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1605.0809369603494</v>
      </c>
      <c r="E23">
        <f t="shared" si="5"/>
        <v>28273.551223450744</v>
      </c>
      <c r="F23">
        <f t="shared" si="6"/>
        <v>122.43118395228331</v>
      </c>
      <c r="G23">
        <f t="shared" si="1"/>
        <v>1096.433723586686</v>
      </c>
      <c r="H23">
        <f t="shared" si="7"/>
        <v>74.049956812797532</v>
      </c>
      <c r="I23">
        <f t="shared" si="8"/>
        <v>1180.4630947101639</v>
      </c>
      <c r="K23">
        <f t="shared" si="9"/>
        <v>1.783784001397752</v>
      </c>
      <c r="L23">
        <f t="shared" si="10"/>
        <v>37.317024868655956</v>
      </c>
      <c r="M23">
        <f t="shared" si="11"/>
        <v>880.27132972536924</v>
      </c>
      <c r="N23" s="3">
        <f t="shared" si="12"/>
        <v>0.74182544641064718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1614.9813508593154</v>
      </c>
      <c r="E24">
        <f t="shared" si="5"/>
        <v>33928.261468140889</v>
      </c>
      <c r="F24">
        <f t="shared" si="6"/>
        <v>120.93469108976373</v>
      </c>
      <c r="G24">
        <f t="shared" si="1"/>
        <v>1212.2128130815568</v>
      </c>
      <c r="H24">
        <f t="shared" si="7"/>
        <v>76.416614342012053</v>
      </c>
      <c r="I24">
        <f t="shared" si="8"/>
        <v>1355.9058290788801</v>
      </c>
      <c r="K24">
        <f t="shared" si="9"/>
        <v>2.140540801677302</v>
      </c>
      <c r="L24">
        <f t="shared" si="10"/>
        <v>36.860893844159989</v>
      </c>
      <c r="M24">
        <f t="shared" si="11"/>
        <v>1011.0989767441209</v>
      </c>
      <c r="N24" s="3">
        <f t="shared" si="12"/>
        <v>0.76553439714709448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1627.9102713009686</v>
      </c>
      <c r="E25">
        <f t="shared" si="5"/>
        <v>39582.971712831044</v>
      </c>
      <c r="F25">
        <f t="shared" si="6"/>
        <v>119.02138404467523</v>
      </c>
      <c r="G25">
        <f t="shared" si="1"/>
        <v>1325.0940154780824</v>
      </c>
      <c r="H25">
        <f t="shared" si="7"/>
        <v>77.886222012421285</v>
      </c>
      <c r="I25">
        <f t="shared" si="8"/>
        <v>1527.4871589926445</v>
      </c>
      <c r="K25">
        <f t="shared" si="9"/>
        <v>2.4972976019568529</v>
      </c>
      <c r="L25">
        <f t="shared" si="10"/>
        <v>36.277717856817013</v>
      </c>
      <c r="M25">
        <f t="shared" si="11"/>
        <v>1139.0471744608151</v>
      </c>
      <c r="N25" s="3">
        <f t="shared" si="12"/>
        <v>0.78025678745052029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1644.6541298165066</v>
      </c>
      <c r="E26">
        <f t="shared" si="5"/>
        <v>45237.681957521185</v>
      </c>
      <c r="F26">
        <f t="shared" si="6"/>
        <v>116.61025983489759</v>
      </c>
      <c r="G26">
        <f t="shared" si="1"/>
        <v>1438.4966038378743</v>
      </c>
      <c r="H26">
        <f t="shared" si="7"/>
        <v>78.592428816756097</v>
      </c>
      <c r="I26">
        <f t="shared" si="8"/>
        <v>1694.9668537855787</v>
      </c>
      <c r="K26">
        <f t="shared" si="9"/>
        <v>2.8540544022364029</v>
      </c>
      <c r="L26">
        <f t="shared" si="10"/>
        <v>35.542807197676787</v>
      </c>
      <c r="M26">
        <f t="shared" si="11"/>
        <v>1263.936782867906</v>
      </c>
      <c r="N26" s="3">
        <f t="shared" si="12"/>
        <v>0.78733150025836629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1654.5850997976424</v>
      </c>
      <c r="E27">
        <f t="shared" si="5"/>
        <v>48065.03707986627</v>
      </c>
      <c r="F27">
        <f t="shared" si="6"/>
        <v>115.21464999837222</v>
      </c>
      <c r="G27">
        <f t="shared" si="1"/>
        <v>1496.2187881316709</v>
      </c>
      <c r="H27">
        <f t="shared" si="7"/>
        <v>78.675476324181176</v>
      </c>
      <c r="I27">
        <f t="shared" si="8"/>
        <v>1777.4705738310452</v>
      </c>
      <c r="K27">
        <f t="shared" si="9"/>
        <v>3.0324328023761788</v>
      </c>
      <c r="L27">
        <f t="shared" si="10"/>
        <v>35.117425319503859</v>
      </c>
      <c r="M27">
        <f t="shared" si="11"/>
        <v>1325.4598069058104</v>
      </c>
      <c r="N27" s="3">
        <f t="shared" si="12"/>
        <v>0.78816346231372103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1665.5702986170295</v>
      </c>
      <c r="E28">
        <f t="shared" si="5"/>
        <v>50892.392202211333</v>
      </c>
      <c r="F28">
        <f t="shared" si="6"/>
        <v>113.69987509120999</v>
      </c>
      <c r="G28">
        <f>$B$6*E28^0.5/F28^(3/4)</f>
        <v>1554.9544935821743</v>
      </c>
      <c r="H28">
        <f t="shared" si="7"/>
        <v>78.579807100327557</v>
      </c>
      <c r="I28">
        <f t="shared" si="8"/>
        <v>1859.5450693070416</v>
      </c>
      <c r="K28">
        <f t="shared" si="9"/>
        <v>3.210811202515953</v>
      </c>
      <c r="L28">
        <f t="shared" si="10"/>
        <v>34.655721927800805</v>
      </c>
      <c r="M28">
        <f t="shared" si="11"/>
        <v>1386.6627581822609</v>
      </c>
      <c r="N28" s="3">
        <f t="shared" si="12"/>
        <v>0.78720505709989486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1690.5870905935374</v>
      </c>
      <c r="E29">
        <f t="shared" si="5"/>
        <v>56547.102446901488</v>
      </c>
      <c r="F29">
        <f t="shared" si="6"/>
        <v>110.35978003000319</v>
      </c>
      <c r="G29">
        <f t="shared" ref="G29:G34" si="13">$B$6*E29^0.5/F29^(3/4)</f>
        <v>1676.1323185808808</v>
      </c>
      <c r="H29">
        <f t="shared" si="7"/>
        <v>77.845204100525336</v>
      </c>
      <c r="I29">
        <f t="shared" si="8"/>
        <v>2024.3897726980988</v>
      </c>
      <c r="K29">
        <f t="shared" si="9"/>
        <v>3.5675680027955039</v>
      </c>
      <c r="L29">
        <f t="shared" si="10"/>
        <v>33.637660953144973</v>
      </c>
      <c r="M29">
        <f t="shared" si="11"/>
        <v>1509.5874535009723</v>
      </c>
      <c r="N29" s="3">
        <f t="shared" si="12"/>
        <v>0.77984587389820104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1719.2037593169323</v>
      </c>
      <c r="E30">
        <f t="shared" si="5"/>
        <v>62201.812691591629</v>
      </c>
      <c r="F30">
        <f t="shared" si="6"/>
        <v>106.71641287455861</v>
      </c>
      <c r="G30">
        <f t="shared" si="13"/>
        <v>1802.7659568265524</v>
      </c>
      <c r="H30">
        <f t="shared" si="7"/>
        <v>76.373004729040559</v>
      </c>
      <c r="I30">
        <f t="shared" si="8"/>
        <v>2194.8214530168143</v>
      </c>
      <c r="K30">
        <f t="shared" si="9"/>
        <v>3.9243248030750539</v>
      </c>
      <c r="L30">
        <f t="shared" si="10"/>
        <v>32.527162644165465</v>
      </c>
      <c r="M30">
        <f t="shared" si="11"/>
        <v>1636.6783575146385</v>
      </c>
      <c r="N30" s="3">
        <f t="shared" si="12"/>
        <v>0.7650975201791288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1750.4904990380182</v>
      </c>
      <c r="E31">
        <f t="shared" si="5"/>
        <v>67856.522936281777</v>
      </c>
      <c r="F31">
        <f t="shared" si="6"/>
        <v>102.93579120384601</v>
      </c>
      <c r="G31">
        <f t="shared" si="13"/>
        <v>1934.5601497990731</v>
      </c>
      <c r="H31">
        <f t="shared" si="7"/>
        <v>74.168588299117602</v>
      </c>
      <c r="I31">
        <f t="shared" si="8"/>
        <v>2378.1695287931802</v>
      </c>
      <c r="K31">
        <f t="shared" si="9"/>
        <v>4.281081603354604</v>
      </c>
      <c r="L31">
        <f t="shared" si="10"/>
        <v>31.374829158932265</v>
      </c>
      <c r="M31">
        <f t="shared" si="11"/>
        <v>1773.4010176210745</v>
      </c>
      <c r="N31" s="3">
        <f t="shared" si="12"/>
        <v>0.74301388539272817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1783.0884446874993</v>
      </c>
      <c r="E32">
        <f t="shared" si="5"/>
        <v>73511.233180971933</v>
      </c>
      <c r="F32">
        <f t="shared" si="6"/>
        <v>99.206505420777461</v>
      </c>
      <c r="G32">
        <f t="shared" si="13"/>
        <v>2070.060231266661</v>
      </c>
      <c r="H32">
        <f t="shared" si="7"/>
        <v>71.289339896817808</v>
      </c>
      <c r="I32">
        <f t="shared" si="8"/>
        <v>2583.2954600789976</v>
      </c>
      <c r="K32">
        <f t="shared" si="9"/>
        <v>4.6378384036341549</v>
      </c>
      <c r="L32">
        <f t="shared" si="10"/>
        <v>30.23814285225297</v>
      </c>
      <c r="M32">
        <f t="shared" si="11"/>
        <v>1926.3634245809087</v>
      </c>
      <c r="N32" s="3">
        <f t="shared" si="12"/>
        <v>0.71416984789027727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1815.2096718759822</v>
      </c>
      <c r="E33">
        <f t="shared" si="5"/>
        <v>79165.943425662088</v>
      </c>
      <c r="F33">
        <f t="shared" si="6"/>
        <v>95.726532788328342</v>
      </c>
      <c r="G33">
        <f t="shared" si="13"/>
        <v>2206.5114769875818</v>
      </c>
      <c r="H33">
        <f t="shared" si="7"/>
        <v>67.869078368827161</v>
      </c>
      <c r="I33">
        <f t="shared" si="8"/>
        <v>2819.7044069186713</v>
      </c>
      <c r="K33">
        <f t="shared" si="9"/>
        <v>4.9945952039137058</v>
      </c>
      <c r="L33">
        <f t="shared" si="10"/>
        <v>29.177447193882479</v>
      </c>
      <c r="M33">
        <f t="shared" si="11"/>
        <v>2102.6535762392532</v>
      </c>
      <c r="N33" s="3">
        <f t="shared" si="12"/>
        <v>0.67990599219003567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1844.6371968939741</v>
      </c>
      <c r="E34">
        <f>A34*PI()*($B$5/12/2)^2/0.00223</f>
        <v>84820.653670352214</v>
      </c>
      <c r="F34">
        <f t="shared" si="6"/>
        <v>92.696641423399427</v>
      </c>
      <c r="G34">
        <f t="shared" si="13"/>
        <v>2339.7208752000342</v>
      </c>
      <c r="H34">
        <f t="shared" si="7"/>
        <v>64.129968002744761</v>
      </c>
      <c r="I34">
        <f t="shared" si="8"/>
        <v>3096.0602601604819</v>
      </c>
      <c r="K34">
        <f t="shared" si="9"/>
        <v>5.351352004193255</v>
      </c>
      <c r="L34">
        <f t="shared" si="10"/>
        <v>28.253936305852147</v>
      </c>
      <c r="M34">
        <f t="shared" si="11"/>
        <v>2308.7321360016713</v>
      </c>
      <c r="N34" s="3">
        <f t="shared" si="12"/>
        <v>0.64244793906098396</v>
      </c>
    </row>
  </sheetData>
  <conditionalFormatting sqref="I19:I34">
    <cfRule type="cellIs" dxfId="0" priority="1" operator="greaterThan">
      <formula>$D$10*$B$11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opLeftCell="CS15" workbookViewId="0">
      <selection activeCell="DE26" sqref="DE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'UWP Example'!E19</f>
        <v>5654.7102446901481</v>
      </c>
      <c r="B18">
        <f>'UWP Example'!F19</f>
        <v>128.77954722775996</v>
      </c>
      <c r="C18">
        <f>'UWP Example'!I19</f>
        <v>423.01645511610997</v>
      </c>
      <c r="E18">
        <f>A18*0.0000630902</f>
        <v>0.35675680027955037</v>
      </c>
      <c r="F18">
        <f>B18*0.3048</f>
        <v>39.252005995021236</v>
      </c>
      <c r="G18">
        <f>+C18*0.7457</f>
        <v>315.44337058008324</v>
      </c>
      <c r="H18" s="2">
        <f>$D$14*E18*F18/G18</f>
        <v>0.43549354221240544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'UWP Example'!E20</f>
        <v>11309.420489380296</v>
      </c>
      <c r="B19">
        <f>'UWP Example'!F20</f>
        <v>126.46893477175057</v>
      </c>
      <c r="C19">
        <f>'UWP Example'!I20</f>
        <v>632.14155154173</v>
      </c>
      <c r="E19">
        <f t="shared" ref="E19:E33" si="1">A19*0.0000630902</f>
        <v>0.71351360055910074</v>
      </c>
      <c r="F19">
        <f t="shared" ref="F19:F33" si="2">B19*0.3048</f>
        <v>38.547731318429577</v>
      </c>
      <c r="G19">
        <f t="shared" ref="G19:G33" si="3">+C19*0.7457</f>
        <v>471.38795498466806</v>
      </c>
      <c r="H19" s="2">
        <f t="shared" ref="H19:H33" si="4">$D$14*E19*F19/G19</f>
        <v>0.57238942998688913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'UWP Example'!E21</f>
        <v>16964.130734070444</v>
      </c>
      <c r="B20">
        <f>'UWP Example'!F21</f>
        <v>124.91004010607162</v>
      </c>
      <c r="C20">
        <f>'UWP Example'!I21</f>
        <v>820.31448815779402</v>
      </c>
      <c r="E20">
        <f t="shared" si="1"/>
        <v>1.070270400838651</v>
      </c>
      <c r="F20">
        <f t="shared" si="2"/>
        <v>38.072580224330629</v>
      </c>
      <c r="G20">
        <f t="shared" si="3"/>
        <v>611.70851381926707</v>
      </c>
      <c r="H20" s="2">
        <f t="shared" si="4"/>
        <v>0.65347700148589161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'UWP Example'!E22</f>
        <v>22618.840978760592</v>
      </c>
      <c r="B21">
        <f>'UWP Example'!F22</f>
        <v>123.6743409742791</v>
      </c>
      <c r="C21">
        <f>'UWP Example'!I22</f>
        <v>1001.9476297128465</v>
      </c>
      <c r="E21">
        <f t="shared" si="1"/>
        <v>1.4270272011182015</v>
      </c>
      <c r="F21">
        <f t="shared" si="2"/>
        <v>37.695939128960276</v>
      </c>
      <c r="G21">
        <f t="shared" si="3"/>
        <v>747.15234747686964</v>
      </c>
      <c r="H21" s="2">
        <f t="shared" si="4"/>
        <v>0.70629586064025907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'UWP Example'!E23</f>
        <v>28273.551223450744</v>
      </c>
      <c r="B22">
        <f>'UWP Example'!F23</f>
        <v>122.43118395228331</v>
      </c>
      <c r="C22">
        <f>'UWP Example'!I23</f>
        <v>1180.4630947101639</v>
      </c>
      <c r="E22">
        <f t="shared" si="1"/>
        <v>1.783784001397752</v>
      </c>
      <c r="F22">
        <f t="shared" si="2"/>
        <v>37.317024868655956</v>
      </c>
      <c r="G22">
        <f t="shared" si="3"/>
        <v>880.27132972536924</v>
      </c>
      <c r="H22" s="2">
        <f t="shared" si="4"/>
        <v>0.74182544641064718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'UWP Example'!E24</f>
        <v>33928.261468140889</v>
      </c>
      <c r="B23">
        <f>'UWP Example'!F24</f>
        <v>120.93469108976373</v>
      </c>
      <c r="C23">
        <f>'UWP Example'!I24</f>
        <v>1355.9058290788801</v>
      </c>
      <c r="E23">
        <f t="shared" si="1"/>
        <v>2.140540801677302</v>
      </c>
      <c r="F23">
        <f t="shared" si="2"/>
        <v>36.860893844159989</v>
      </c>
      <c r="G23">
        <f t="shared" si="3"/>
        <v>1011.0989767441209</v>
      </c>
      <c r="H23" s="2">
        <f t="shared" si="4"/>
        <v>0.76553439714709448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'UWP Example'!E25</f>
        <v>39582.971712831044</v>
      </c>
      <c r="B24">
        <f>'UWP Example'!F25</f>
        <v>119.02138404467523</v>
      </c>
      <c r="C24">
        <f>'UWP Example'!I25</f>
        <v>1527.4871589926445</v>
      </c>
      <c r="E24">
        <f t="shared" si="1"/>
        <v>2.4972976019568529</v>
      </c>
      <c r="F24">
        <f t="shared" si="2"/>
        <v>36.277717856817013</v>
      </c>
      <c r="G24">
        <f t="shared" si="3"/>
        <v>1139.0471744608151</v>
      </c>
      <c r="H24" s="2">
        <f t="shared" si="4"/>
        <v>0.78025678745052029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'UWP Example'!E26</f>
        <v>45237.681957521185</v>
      </c>
      <c r="B25">
        <f>'UWP Example'!F26</f>
        <v>116.61025983489759</v>
      </c>
      <c r="C25" s="1">
        <f>'UWP Example'!I26</f>
        <v>1694.9668537855787</v>
      </c>
      <c r="D25" s="1"/>
      <c r="E25">
        <f t="shared" si="1"/>
        <v>2.8540544022364029</v>
      </c>
      <c r="F25">
        <f t="shared" si="2"/>
        <v>35.542807197676787</v>
      </c>
      <c r="G25" s="1">
        <f t="shared" si="3"/>
        <v>1263.936782867906</v>
      </c>
      <c r="H25" s="3">
        <f>$D$14*E25*F25/G25</f>
        <v>0.78733150025836629</v>
      </c>
      <c r="I25" s="1"/>
      <c r="J25" s="1"/>
      <c r="K25" s="11">
        <f>$D$6*($D$12/(G25*$B$15))^0.5</f>
        <v>2.9478684759327294</v>
      </c>
      <c r="L25" s="6">
        <f>K25/$D$6</f>
        <v>0.84224813598077986</v>
      </c>
      <c r="M25" s="9">
        <f>$D$12*L25</f>
        <v>753.81208170279797</v>
      </c>
      <c r="N25" s="10">
        <f>E25/L25</f>
        <v>3.3886146852826431</v>
      </c>
      <c r="O25" s="9" cm="1">
        <f t="array" ref="O25">raninterp($E$18:$E$33,$G$18:$G$33,N25)</f>
        <v>1447.9270113894167</v>
      </c>
      <c r="P25" s="9">
        <f>O25*L25^3*$B$15</f>
        <v>863.54388083603726</v>
      </c>
      <c r="Q25" s="18">
        <f>P25/M25</f>
        <v>1.1455691700846242</v>
      </c>
      <c r="R25" s="9" cm="1">
        <f t="array" ref="R25">raninterp($E$18:$E$33,$F$18:$F$33,N25)</f>
        <v>34.148332056547289</v>
      </c>
      <c r="S25" s="9">
        <f>R25*L25^2*$B$15</f>
        <v>24.180605869592721</v>
      </c>
      <c r="T25" s="3">
        <f>$D$14*N25*R25/O25</f>
        <v>0.78399631570920603</v>
      </c>
      <c r="U25" s="12">
        <f>K25*(M25/P25)^0.5</f>
        <v>2.7542124950271103</v>
      </c>
      <c r="V25" s="13">
        <f>U25/$D$6</f>
        <v>0.78691785572203155</v>
      </c>
      <c r="W25" s="14">
        <f>$D$12*V25</f>
        <v>704.29148087121825</v>
      </c>
      <c r="X25" s="12">
        <f>$E25/V25</f>
        <v>3.6268771657464591</v>
      </c>
      <c r="Y25" s="14" cm="1">
        <f t="array" ref="Y25">raninterp($E$18:$E$33,$G$18:$G$33,X25)</f>
        <v>1530.7157266826589</v>
      </c>
      <c r="Z25" s="14">
        <f>Y25*V25^3*$B$15</f>
        <v>744.56104310374519</v>
      </c>
      <c r="AA25" s="15">
        <f>Z25/W25</f>
        <v>1.0571774092492401</v>
      </c>
      <c r="AB25" s="14" cm="1">
        <f t="array" ref="AB25">raninterp($E$18:$E$33,$F$18:$F$33,X25)</f>
        <v>33.453045761192314</v>
      </c>
      <c r="AC25" s="16">
        <f>AB25*V25^2*$B$15</f>
        <v>20.678166593174144</v>
      </c>
      <c r="AD25" s="5">
        <f>$D$14*X25*AB25/Y25</f>
        <v>0.77757622825085537</v>
      </c>
      <c r="AE25" s="7">
        <f>U25*(W25/Z25)^0.5</f>
        <v>2.6786964809567531</v>
      </c>
      <c r="AF25" s="6">
        <f>AE25/$D$6</f>
        <v>0.76534185170192948</v>
      </c>
      <c r="AG25" s="9">
        <f>$D$12*AF25</f>
        <v>684.98095727322686</v>
      </c>
      <c r="AH25" s="10">
        <f>$E25/AF25</f>
        <v>3.7291236535538954</v>
      </c>
      <c r="AI25" s="9" cm="1">
        <f t="array" ref="AI25">raninterp($E$18:$E$33,$G$18:$G$33,AH25)</f>
        <v>1567.1399757999482</v>
      </c>
      <c r="AJ25" s="9">
        <f>AI25*AF25^3*$B$15</f>
        <v>701.28046775280552</v>
      </c>
      <c r="AK25" s="18">
        <f>AJ25/AG25</f>
        <v>1.0237955673168839</v>
      </c>
      <c r="AL25" s="8" cm="1">
        <f t="array" ref="AL25">raninterp($E$18:$E$33,$F$18:$F$33,AH25)</f>
        <v>33.134776980554413</v>
      </c>
      <c r="AM25" s="9">
        <f>AL25*AF25^2*$B$15</f>
        <v>19.373698774144941</v>
      </c>
      <c r="AN25" s="3">
        <f>$D$14*AH25*AL25/AI25</f>
        <v>0.77348528232309821</v>
      </c>
      <c r="AO25" s="12">
        <f>AE25*(AG25/AJ25)^0.5</f>
        <v>2.6473836642701354</v>
      </c>
      <c r="AP25" s="13">
        <f>AO25/$D$6</f>
        <v>0.75639533264861014</v>
      </c>
      <c r="AQ25" s="14">
        <f>$D$12*AP25</f>
        <v>676.97382272050606</v>
      </c>
      <c r="AR25" s="12">
        <f>$E25/AP25</f>
        <v>3.7732311121521396</v>
      </c>
      <c r="AS25" s="14" cm="1">
        <f t="array" ref="AS25">raninterp($E$18:$E$33,$G$18:$G$33,AR25)</f>
        <v>1582.8527997253891</v>
      </c>
      <c r="AT25" s="14">
        <f>AS25*AP25^3*$B$15</f>
        <v>683.76145537795901</v>
      </c>
      <c r="AU25" s="15">
        <f>AT25/AQ25</f>
        <v>1.0100264329722175</v>
      </c>
      <c r="AV25" s="14" cm="1">
        <f t="array" ref="AV25">raninterp($E$18:$E$33,$F$18:$F$33,AR25)</f>
        <v>32.997481046325959</v>
      </c>
      <c r="AW25" s="16">
        <f>AV25*AP25^2*$B$15</f>
        <v>18.844995337054499</v>
      </c>
      <c r="AX25" s="5">
        <f>$D$14*AR25*AV25/AS25</f>
        <v>0.77165410964185555</v>
      </c>
      <c r="AY25" s="7">
        <f>AO25*(AQ25/AT25)^0.5</f>
        <v>2.6342107326222206</v>
      </c>
      <c r="AZ25" s="6">
        <f>AY25/$D$6</f>
        <v>0.752631637892063</v>
      </c>
      <c r="BA25" s="9">
        <f>$D$12*AZ25</f>
        <v>673.60531591339634</v>
      </c>
      <c r="BB25" s="10">
        <f>$E25/AZ25</f>
        <v>3.7920999577295351</v>
      </c>
      <c r="BC25" s="9" cm="1">
        <f t="array" ref="BC25">raninterp($E$18:$E$33,$G$18:$G$33,BB25)</f>
        <v>1589.5746299476759</v>
      </c>
      <c r="BD25" s="9">
        <f>BC25*AZ25^3*$B$15</f>
        <v>676.46588549458875</v>
      </c>
      <c r="BE25" s="18">
        <f>BD25/BA25</f>
        <v>1.0042466552944487</v>
      </c>
      <c r="BF25" s="8" cm="1">
        <f t="array" ref="BF25">raninterp($E$18:$E$33,$F$18:$F$33,BB25)</f>
        <v>32.93874685796662</v>
      </c>
      <c r="BG25" s="9">
        <f>BF25*AZ25^2*$B$15</f>
        <v>18.624712571500439</v>
      </c>
      <c r="BH25" s="3">
        <f>$D$14*BB25*BF25/BC25</f>
        <v>0.77085897615895593</v>
      </c>
      <c r="BI25" s="12">
        <f>AY25*(BA25/BD25)^0.5</f>
        <v>2.6286351919235482</v>
      </c>
      <c r="BJ25" s="13">
        <f>BI25/$D$6</f>
        <v>0.75103862626387097</v>
      </c>
      <c r="BK25" s="14">
        <f>$D$12*BJ25</f>
        <v>672.17957050616451</v>
      </c>
      <c r="BL25" s="12">
        <f>$E25/BJ25</f>
        <v>3.8001432981339835</v>
      </c>
      <c r="BM25" s="14" cm="1">
        <f t="array" ref="BM25">raninterp($E$18:$E$33,$G$18:$G$33,BL25)</f>
        <v>1592.4399864103698</v>
      </c>
      <c r="BN25" s="14">
        <f>BM25*BJ25^3*$B$15</f>
        <v>673.3912368476839</v>
      </c>
      <c r="BO25" s="15">
        <f>BN25/BK25</f>
        <v>1.0018025932275909</v>
      </c>
      <c r="BP25" s="14" cm="1">
        <f t="array" ref="BP25">raninterp($E$18:$E$33,$F$18:$F$33,BL25)</f>
        <v>32.913709869433575</v>
      </c>
      <c r="BQ25" s="16">
        <f>BP25*BJ25^2*$B$15</f>
        <v>18.531857377537985</v>
      </c>
      <c r="BR25" s="5">
        <f>$D$14*BL25*BP25/BM25</f>
        <v>0.77051791941043735</v>
      </c>
      <c r="BS25" s="7">
        <f>BI25*(BK25/BN25)^0.5</f>
        <v>2.6262692101231808</v>
      </c>
      <c r="BT25" s="6">
        <f>BS25/$D$6</f>
        <v>0.75036263146376592</v>
      </c>
      <c r="BU25" s="9">
        <f>$D$12*BT25</f>
        <v>671.57455516007053</v>
      </c>
      <c r="BV25" s="10">
        <f>$E25/BT25</f>
        <v>3.8035668123142958</v>
      </c>
      <c r="BW25" s="9" cm="1">
        <f t="array" ref="BW25">raninterp($E$18:$E$33,$G$18:$G$33,BV25)</f>
        <v>1593.6595777727168</v>
      </c>
      <c r="BX25" s="9">
        <f>BW25*BT25^3*$B$15</f>
        <v>672.08888947322168</v>
      </c>
      <c r="BY25" s="18">
        <f>BX25/BU25</f>
        <v>1.000765863312121</v>
      </c>
      <c r="BZ25" s="8" cm="1">
        <f t="array" ref="BZ25">raninterp($E$18:$E$33,$F$18:$F$33,BV25)</f>
        <v>32.903053291324831</v>
      </c>
      <c r="CA25" s="9">
        <f>BZ25*BT25^2*$B$15</f>
        <v>18.492522761951633</v>
      </c>
      <c r="CB25" s="3">
        <f>$D$14*BV25*BZ25/BW25</f>
        <v>0.77037237416377469</v>
      </c>
      <c r="CC25" s="12">
        <f>BS25*(BU25/BX25)^0.5</f>
        <v>2.625264105797851</v>
      </c>
      <c r="CD25" s="13">
        <f>CC25/$D$6</f>
        <v>0.75007545879938597</v>
      </c>
      <c r="CE25" s="14">
        <f>$D$12*CD25</f>
        <v>671.31753562545043</v>
      </c>
      <c r="CF25" s="12">
        <f>$E25/CD25</f>
        <v>3.8050230396882561</v>
      </c>
      <c r="CG25" s="14" cm="1">
        <f t="array" ref="CG25">raninterp($E$18:$E$33,$G$18:$G$33,CF25)</f>
        <v>1594.1783436470073</v>
      </c>
      <c r="CH25" s="14">
        <f>CG25*CD25^3*$B$15</f>
        <v>671.53606198650812</v>
      </c>
      <c r="CI25" s="15">
        <f>CH25/CE25</f>
        <v>1.0003255186248845</v>
      </c>
      <c r="CJ25" s="14" cm="1">
        <f t="array" ref="CJ25">raninterp($E$18:$E$33,$F$18:$F$33,CF25)</f>
        <v>32.898520404957971</v>
      </c>
      <c r="CK25" s="16">
        <f>CJ25*CD25^2*$B$15</f>
        <v>18.475825184440129</v>
      </c>
      <c r="CL25" s="5">
        <f>$D$14*CF25*CJ25/CG25</f>
        <v>0.77031039637289689</v>
      </c>
      <c r="CM25" s="7">
        <f>CC25*(CE25/CH25)^0.5</f>
        <v>2.6248369239059297</v>
      </c>
      <c r="CN25" s="6">
        <f>CM25/$D$6</f>
        <v>0.74995340683026568</v>
      </c>
      <c r="CO25" s="9">
        <f>$D$12*CN25</f>
        <v>671.20829911308783</v>
      </c>
      <c r="CP25" s="10">
        <f>$E25/CN25</f>
        <v>3.805642292231564</v>
      </c>
      <c r="CQ25" s="9" cm="1">
        <f t="array" ref="CQ25">raninterp($E$18:$E$33,$G$18:$G$33,CP25)</f>
        <v>1594.3989459325981</v>
      </c>
      <c r="CR25" s="9">
        <f>CQ25*CN25^3*$B$15</f>
        <v>671.30118086968787</v>
      </c>
      <c r="CS25" s="18">
        <f>CR25/CO25</f>
        <v>1.0001383799287387</v>
      </c>
      <c r="CT25" s="8" cm="1">
        <f t="array" ref="CT25">raninterp($E$18:$E$33,$F$18:$F$33,CP25)</f>
        <v>32.896592820391575</v>
      </c>
      <c r="CU25" s="9">
        <f>CT25*CN25^2*$B$15</f>
        <v>18.468730736170251</v>
      </c>
      <c r="CV25" s="3">
        <f>$D$14*CP25*CT25/CQ25</f>
        <v>0.77028402827074383</v>
      </c>
      <c r="CW25" s="12">
        <f>CM25*(CO25/CR25)^0.5</f>
        <v>2.6246553303791464</v>
      </c>
      <c r="CX25" s="13">
        <f>CW25/$D$6</f>
        <v>0.74990152296547041</v>
      </c>
      <c r="CY25" s="14">
        <f>$D$12*CX25</f>
        <v>671.16186305409599</v>
      </c>
      <c r="CZ25" s="12">
        <f>$E25/CX25</f>
        <v>3.8059055953775136</v>
      </c>
      <c r="DA25" s="14" cm="1">
        <f t="array" ref="DA25">raninterp($E$18:$E$33,$G$18:$G$33,CZ25)</f>
        <v>1594.4927449430786</v>
      </c>
      <c r="DB25" s="14">
        <f>DA25*CX25^3*$B$15</f>
        <v>671.20134772560004</v>
      </c>
      <c r="DC25" s="15">
        <f>DB25/CY25</f>
        <v>1.0000588303264497</v>
      </c>
      <c r="DD25" s="14" cm="1">
        <f t="array" ref="DD25">raninterp($E$18:$E$33,$F$18:$F$33,CZ25)</f>
        <v>32.895773220882617</v>
      </c>
      <c r="DE25" s="16">
        <f>DD25*CX25^2*$B$15</f>
        <v>18.465715314098407</v>
      </c>
      <c r="DF25" s="5">
        <f>$D$14*CZ25*DD25/DA25</f>
        <v>0.77027281444334528</v>
      </c>
      <c r="DG25" s="7">
        <f>CW25*(CY25/DB25)^0.5</f>
        <v>2.6245781291205095</v>
      </c>
      <c r="DH25" s="6">
        <f>DG25/$D$6</f>
        <v>0.74987946546300266</v>
      </c>
      <c r="DI25" s="9">
        <f>$D$12*DH25</f>
        <v>671.14212158938733</v>
      </c>
      <c r="DJ25" s="10">
        <f>$E25/DH25</f>
        <v>3.8060175450653349</v>
      </c>
      <c r="DK25" s="9" cm="1">
        <f t="array" ref="DK25">raninterp($E$18:$E$33,$G$18:$G$33,DJ25)</f>
        <v>1594.5326258564012</v>
      </c>
      <c r="DL25" s="9">
        <f>DK25*DH25^3*$B$15</f>
        <v>671.15890796917074</v>
      </c>
      <c r="DM25" s="18">
        <f>DL25/DI25</f>
        <v>1.0000250116618274</v>
      </c>
      <c r="DN25" s="8" cm="1">
        <f t="array" ref="DN25">raninterp($E$18:$E$33,$F$18:$F$33,DJ25)</f>
        <v>32.895424748368796</v>
      </c>
      <c r="DO25" s="9">
        <f>DN25*DH25^2*$B$15</f>
        <v>18.464433433869971</v>
      </c>
      <c r="DP25" s="3">
        <f>$D$14*DJ25*DN25/DK25</f>
        <v>0.77026804620917388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'UWP Example'!E27</f>
        <v>48065.03707986627</v>
      </c>
      <c r="B26">
        <f>'UWP Example'!F27</f>
        <v>115.21464999837222</v>
      </c>
      <c r="C26" s="1">
        <f>'UWP Example'!I27</f>
        <v>1777.4705738310452</v>
      </c>
      <c r="D26" s="1"/>
      <c r="E26">
        <f t="shared" si="1"/>
        <v>3.0324328023761788</v>
      </c>
      <c r="F26">
        <f t="shared" si="2"/>
        <v>35.117425319503859</v>
      </c>
      <c r="G26" s="1">
        <f t="shared" si="3"/>
        <v>1325.4598069058104</v>
      </c>
      <c r="H26" s="2">
        <f t="shared" si="4"/>
        <v>0.78816346231372103</v>
      </c>
      <c r="I26" s="1"/>
      <c r="J26" s="1"/>
      <c r="K26" s="11">
        <f>$D$6*($D$12/(G26*$B$15))^0.5</f>
        <v>2.8786409414935621</v>
      </c>
      <c r="L26" s="6">
        <f>K26/$D$6</f>
        <v>0.82246884042673207</v>
      </c>
      <c r="M26" s="9">
        <f>$D$12*L26</f>
        <v>736.10961218192517</v>
      </c>
      <c r="N26" s="10">
        <f>E26/L26</f>
        <v>3.6869880697277515</v>
      </c>
      <c r="O26" s="9" cm="1">
        <f t="array" ref="O26">raninterp($E$18:$E$33,$G$18:$G$33,N26)</f>
        <v>1552.1296117777008</v>
      </c>
      <c r="P26" s="9">
        <f>O26*L26^3*$B$15</f>
        <v>861.99334044608747</v>
      </c>
      <c r="Q26" s="18">
        <f>P26/M26</f>
        <v>1.1710122054934542</v>
      </c>
      <c r="R26" s="9" cm="1">
        <f t="array" ref="R26">raninterp($E$18:$E$33,$F$18:$F$33,N26)</f>
        <v>33.265934941804574</v>
      </c>
      <c r="S26" s="9">
        <f>R26*L26^2*$B$15</f>
        <v>22.462402569881036</v>
      </c>
      <c r="T26" s="3">
        <f>$D$14*N26*R26/O26</f>
        <v>0.77519772411950416</v>
      </c>
      <c r="U26" s="12">
        <f>K26*(M26/P26)^0.5</f>
        <v>2.6601540472223331</v>
      </c>
      <c r="V26" s="13">
        <f>U26/$D$6</f>
        <v>0.76004401349209516</v>
      </c>
      <c r="W26" s="14">
        <f>$D$12*V26</f>
        <v>680.23939207542514</v>
      </c>
      <c r="X26" s="12">
        <f>$E26/V26</f>
        <v>3.9898121010694831</v>
      </c>
      <c r="Y26" s="14" cm="1">
        <f t="array" ref="Y26">raninterp($E$18:$E$33,$G$18:$G$33,X26)</f>
        <v>1661.7755598047288</v>
      </c>
      <c r="Z26" s="14">
        <f>Y26*V26^3*$B$15</f>
        <v>728.2930420177222</v>
      </c>
      <c r="AA26" s="15">
        <f>Z26/W26</f>
        <v>1.0706422628593801</v>
      </c>
      <c r="AB26" s="14" cm="1">
        <f t="array" ref="AB26">raninterp($E$18:$E$33,$F$18:$F$33,X26)</f>
        <v>32.315637015845851</v>
      </c>
      <c r="AC26" s="16">
        <f>AB26*V26^2*$B$15</f>
        <v>18.634072122402344</v>
      </c>
      <c r="AD26" s="5">
        <f>$D$14*X26*AB26/Y26</f>
        <v>0.76113519542724095</v>
      </c>
      <c r="AE26" s="7">
        <f>U26*(W26/Z26)^0.5</f>
        <v>2.5708965149411709</v>
      </c>
      <c r="AF26" s="6">
        <f>AE26/$D$6</f>
        <v>0.73454186141176314</v>
      </c>
      <c r="AG26" s="9">
        <f>$D$12*AF26</f>
        <v>657.41496596352806</v>
      </c>
      <c r="AH26" s="10">
        <f>$E26/AF26</f>
        <v>4.1283321777576454</v>
      </c>
      <c r="AI26" s="9" cm="1">
        <f t="array" ref="AI26">raninterp($E$18:$E$33,$G$18:$G$33,AH26)</f>
        <v>1714.8616771488491</v>
      </c>
      <c r="AJ26" s="9">
        <f>AI26*AF26^3*$B$15</f>
        <v>678.41636282546131</v>
      </c>
      <c r="AK26" s="18">
        <f>AJ26/AG26</f>
        <v>1.0319454194827355</v>
      </c>
      <c r="AL26" s="8" cm="1">
        <f t="array" ref="AL26">raninterp($E$18:$E$33,$F$18:$F$33,AH26)</f>
        <v>31.868213665766014</v>
      </c>
      <c r="AM26" s="9">
        <f>AL26*AF26^2*$B$15</f>
        <v>17.163600139968441</v>
      </c>
      <c r="AN26" s="3">
        <f>$D$14*AH26*AL26/AI26</f>
        <v>0.75261395585014557</v>
      </c>
      <c r="AO26" s="12">
        <f>AE26*(AG26/AJ26)^0.5</f>
        <v>2.5307907107250949</v>
      </c>
      <c r="AP26" s="13">
        <f>AO26/$D$6</f>
        <v>0.72308306020716995</v>
      </c>
      <c r="AQ26" s="14">
        <f>$D$12*AP26</f>
        <v>647.15933888541713</v>
      </c>
      <c r="AR26" s="12">
        <f>$E26/AP26</f>
        <v>4.1937544512622917</v>
      </c>
      <c r="AS26" s="14" cm="1">
        <f t="array" ref="AS26">raninterp($E$18:$E$33,$G$18:$G$33,AR26)</f>
        <v>1739.9339596022098</v>
      </c>
      <c r="AT26" s="14">
        <f>AS26*AP26^3*$B$15</f>
        <v>656.62118758906456</v>
      </c>
      <c r="AU26" s="15">
        <f>AT26/AQ26</f>
        <v>1.0146205858976605</v>
      </c>
      <c r="AV26" s="14" cm="1">
        <f t="array" ref="AV26">raninterp($E$18:$E$33,$F$18:$F$33,AR26)</f>
        <v>31.656898068192501</v>
      </c>
      <c r="AW26" s="16">
        <f>AV26*AP26^2*$B$15</f>
        <v>16.521987836441113</v>
      </c>
      <c r="AX26" s="5">
        <f>$D$14*AR26*AV26/AS26</f>
        <v>0.74852722186000953</v>
      </c>
      <c r="AY26" s="7">
        <f>AO26*(AQ26/AT26)^0.5</f>
        <v>2.5124903183576119</v>
      </c>
      <c r="AZ26" s="6">
        <f>AY26/$D$6</f>
        <v>0.71785437667360341</v>
      </c>
      <c r="BA26" s="9">
        <f>$D$12*AZ26</f>
        <v>642.47966712287507</v>
      </c>
      <c r="BB26" s="10">
        <f>$E26/AZ26</f>
        <v>4.224300778700937</v>
      </c>
      <c r="BC26" s="9" cm="1">
        <f t="array" ref="BC26">raninterp($E$18:$E$33,$G$18:$G$33,BB26)</f>
        <v>1751.6404642592233</v>
      </c>
      <c r="BD26" s="9">
        <f>BC26*AZ26^3*$B$15</f>
        <v>646.80235487415598</v>
      </c>
      <c r="BE26" s="18">
        <f>BD26/BA26</f>
        <v>1.0067281316008623</v>
      </c>
      <c r="BF26" s="8" cm="1">
        <f t="array" ref="BF26">raninterp($E$18:$E$33,$F$18:$F$33,BB26)</f>
        <v>31.558232658224512</v>
      </c>
      <c r="BG26" s="9">
        <f>BF26*AZ26^2*$B$15</f>
        <v>16.23315532939441</v>
      </c>
      <c r="BH26" s="3">
        <f>$D$14*BB26*BF26/BC26</f>
        <v>0.7466061191890272</v>
      </c>
      <c r="BI26" s="12">
        <f>AY26*(BA26/BD26)^0.5</f>
        <v>2.5040805484193629</v>
      </c>
      <c r="BJ26" s="13">
        <f>BI26/$D$6</f>
        <v>0.71545158526267516</v>
      </c>
      <c r="BK26" s="14">
        <f>$D$12*BJ26</f>
        <v>640.3291688100943</v>
      </c>
      <c r="BL26" s="12">
        <f>$E26/BJ26</f>
        <v>4.2384877814797672</v>
      </c>
      <c r="BM26" s="14" cm="1">
        <f t="array" ref="BM26">raninterp($E$18:$E$33,$G$18:$G$33,BL26)</f>
        <v>1757.0774587533413</v>
      </c>
      <c r="BN26" s="14">
        <f>BM26*BJ26^3*$B$15</f>
        <v>642.31671490547194</v>
      </c>
      <c r="BO26" s="15">
        <f>BN26/BK26</f>
        <v>1.0031039443339291</v>
      </c>
      <c r="BP26" s="14" cm="1">
        <f t="array" ref="BP26">raninterp($E$18:$E$33,$F$18:$F$33,BL26)</f>
        <v>31.512408280541081</v>
      </c>
      <c r="BQ26" s="16">
        <f>BP26*BJ26^2*$B$15</f>
        <v>16.101252503898799</v>
      </c>
      <c r="BR26" s="5">
        <f>$D$14*BL26*BP26/BM26</f>
        <v>0.74571113878645112</v>
      </c>
      <c r="BS26" s="7">
        <f>BI26*(BK26/BN26)^0.5</f>
        <v>2.5002033088252005</v>
      </c>
      <c r="BT26" s="6">
        <f>BS26/$D$6</f>
        <v>0.71434380252148588</v>
      </c>
      <c r="BU26" s="9">
        <f>$D$12*BT26</f>
        <v>639.33770325672981</v>
      </c>
      <c r="BV26" s="10">
        <f>$E26/BT26</f>
        <v>4.245060700005121</v>
      </c>
      <c r="BW26" s="9" cm="1">
        <f t="array" ref="BW26">raninterp($E$18:$E$33,$G$18:$G$33,BV26)</f>
        <v>1759.5964490143399</v>
      </c>
      <c r="BX26" s="9">
        <f>BW26*BT26^3*$B$15</f>
        <v>640.2542738040155</v>
      </c>
      <c r="BY26" s="18">
        <f>BX26/BU26</f>
        <v>1.0014336250507623</v>
      </c>
      <c r="BZ26" s="8" cm="1">
        <f t="array" ref="BZ26">raninterp($E$18:$E$33,$F$18:$F$33,BV26)</f>
        <v>31.491177587512833</v>
      </c>
      <c r="CA26" s="9">
        <f>BZ26*BT26^2*$B$15</f>
        <v>16.040615512090831</v>
      </c>
      <c r="CB26" s="3">
        <f>$D$14*BV26*BZ26/BW26</f>
        <v>0.74529590691089787</v>
      </c>
      <c r="CC26" s="12">
        <f>BS26*(BU26/BX26)^0.5</f>
        <v>2.4984130564606106</v>
      </c>
      <c r="CD26" s="13">
        <f>CC26/$D$6</f>
        <v>0.71383230184588875</v>
      </c>
      <c r="CE26" s="14">
        <f>$D$12*CD26</f>
        <v>638.87991015207047</v>
      </c>
      <c r="CF26" s="12">
        <f>$E26/CD26</f>
        <v>4.2481025228679821</v>
      </c>
      <c r="CG26" s="14" cm="1">
        <f t="array" ref="CG26">raninterp($E$18:$E$33,$G$18:$G$33,CF26)</f>
        <v>1760.7621902505464</v>
      </c>
      <c r="CH26" s="14">
        <f>CG26*CD26^3*$B$15</f>
        <v>639.3031712109713</v>
      </c>
      <c r="CI26" s="15">
        <f>CH26/CE26</f>
        <v>1.0006625048810818</v>
      </c>
      <c r="CJ26" s="14" cm="1">
        <f t="array" ref="CJ26">raninterp($E$18:$E$33,$F$18:$F$33,CF26)</f>
        <v>31.481352422755567</v>
      </c>
      <c r="CK26" s="16">
        <f>CJ26*CD26^2*$B$15</f>
        <v>16.012654739187081</v>
      </c>
      <c r="CL26" s="5">
        <f>$D$14*CF26*CJ26/CG26</f>
        <v>0.74510362124131035</v>
      </c>
      <c r="CM26" s="7">
        <f>CC26*(CE26/CH26)^0.5</f>
        <v>2.4975858620307552</v>
      </c>
      <c r="CN26" s="6">
        <f>CM26/$D$6</f>
        <v>0.71359596058021579</v>
      </c>
      <c r="CO26" s="9">
        <f>$D$12*CN26</f>
        <v>638.66838471929316</v>
      </c>
      <c r="CP26" s="10">
        <f>$E26/CN26</f>
        <v>4.2495094842052445</v>
      </c>
      <c r="CQ26" s="9" cm="1">
        <f t="array" ref="CQ26">raninterp($E$18:$E$33,$G$18:$G$33,CP26)</f>
        <v>1761.3013908952059</v>
      </c>
      <c r="CR26" s="9">
        <f>CQ26*CN26^3*$B$15</f>
        <v>638.86396502347691</v>
      </c>
      <c r="CS26" s="18">
        <f>CR26/CO26</f>
        <v>1.0003062313852746</v>
      </c>
      <c r="CT26" s="8" cm="1">
        <f t="array" ref="CT26">raninterp($E$18:$E$33,$F$18:$F$33,CP26)</f>
        <v>31.476807902062237</v>
      </c>
      <c r="CU26" s="9">
        <f>CT26*CN26^2*$B$15</f>
        <v>15.999743309081975</v>
      </c>
      <c r="CV26" s="3">
        <f>$D$14*CP26*CT26/CQ26</f>
        <v>0.74501465513004472</v>
      </c>
      <c r="CW26" s="25">
        <f>CM26*(CO26/CR26)^0.5</f>
        <v>2.4972035302508218</v>
      </c>
      <c r="CX26" s="26">
        <f>CW26/$D$6</f>
        <v>0.71348672292880622</v>
      </c>
      <c r="CY26" s="27">
        <f>$D$12*CX26</f>
        <v>638.57061702128158</v>
      </c>
      <c r="CZ26" s="25">
        <f>$E26/CX26</f>
        <v>4.2501601009872809</v>
      </c>
      <c r="DA26" s="27" cm="1">
        <f t="array" ref="DA26">raninterp($E$18:$E$33,$G$18:$G$33,CZ26)</f>
        <v>1761.5507317825561</v>
      </c>
      <c r="DB26" s="27">
        <f>DA26*CX26^3*$B$15</f>
        <v>638.6610170885881</v>
      </c>
      <c r="DC26" s="28">
        <f>DB26/CY26</f>
        <v>1.0001415662808417</v>
      </c>
      <c r="DD26" s="27" cm="1">
        <f t="array" ref="DD26">raninterp($E$18:$E$33,$F$18:$F$33,CZ26)</f>
        <v>31.474706393405899</v>
      </c>
      <c r="DE26" s="29">
        <f>DD26*CX26^2*$B$15</f>
        <v>15.993777310185715</v>
      </c>
      <c r="DF26" s="30">
        <f>$D$14*CZ26*DD26/DA26</f>
        <v>0.74497350914202742</v>
      </c>
      <c r="DG26" s="7">
        <f>CW26*(CY26/DB26)^0.5</f>
        <v>2.497026789107899</v>
      </c>
      <c r="DH26" s="6">
        <f>DG26/$D$6</f>
        <v>0.71343622545939966</v>
      </c>
      <c r="DI26" s="9">
        <f>$D$12*DH26</f>
        <v>638.52542178616272</v>
      </c>
      <c r="DJ26" s="10">
        <f>$E26/DH26</f>
        <v>4.2504609300200853</v>
      </c>
      <c r="DK26" s="9" cm="1">
        <f t="array" ref="DK26">raninterp($E$18:$E$33,$G$18:$G$33,DJ26)</f>
        <v>1761.6660208129827</v>
      </c>
      <c r="DL26" s="9">
        <f>DK26*DH26^3*$B$15</f>
        <v>638.56721165656052</v>
      </c>
      <c r="DM26" s="18">
        <f>DL26/DI26</f>
        <v>1.0000654474653192</v>
      </c>
      <c r="DN26" s="8" cm="1">
        <f t="array" ref="DN26">raninterp($E$18:$E$33,$F$18:$F$33,DJ26)</f>
        <v>31.473734708023702</v>
      </c>
      <c r="DO26" s="9">
        <f>DN26*DH26^2*$B$15</f>
        <v>15.991019761989101</v>
      </c>
      <c r="DP26" s="3">
        <f>$D$14*DJ26*DN26/DK26</f>
        <v>0.74495448304918321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'UWP Example'!E28</f>
        <v>50892.392202211333</v>
      </c>
      <c r="B27">
        <f>'UWP Example'!F28</f>
        <v>113.69987509120999</v>
      </c>
      <c r="C27" s="1">
        <f>'UWP Example'!I28</f>
        <v>1859.5450693070416</v>
      </c>
      <c r="D27" s="1"/>
      <c r="E27">
        <f t="shared" si="1"/>
        <v>3.210811202515953</v>
      </c>
      <c r="F27">
        <f t="shared" si="2"/>
        <v>34.655721927800805</v>
      </c>
      <c r="G27" s="1">
        <f t="shared" si="3"/>
        <v>1386.6627581822609</v>
      </c>
      <c r="H27" s="2">
        <f t="shared" si="4"/>
        <v>0.78720505709989486</v>
      </c>
      <c r="I27" s="1"/>
      <c r="J27" s="1"/>
    </row>
    <row r="28" spans="1:130" x14ac:dyDescent="0.35">
      <c r="A28">
        <f>'UWP Example'!E29</f>
        <v>56547.102446901488</v>
      </c>
      <c r="B28">
        <f>'UWP Example'!F29</f>
        <v>110.35978003000319</v>
      </c>
      <c r="C28" s="1">
        <f>'UWP Example'!I29</f>
        <v>2024.3897726980988</v>
      </c>
      <c r="D28" s="1"/>
      <c r="E28">
        <f t="shared" si="1"/>
        <v>3.5675680027955039</v>
      </c>
      <c r="F28">
        <f t="shared" si="2"/>
        <v>33.637660953144973</v>
      </c>
      <c r="G28" s="1">
        <f t="shared" si="3"/>
        <v>1509.5874535009723</v>
      </c>
      <c r="H28" s="2">
        <f t="shared" si="4"/>
        <v>0.77984587389820104</v>
      </c>
      <c r="I28" s="1"/>
      <c r="J28" s="1"/>
    </row>
    <row r="29" spans="1:130" x14ac:dyDescent="0.35">
      <c r="A29">
        <f>'UWP Example'!E30</f>
        <v>62201.812691591629</v>
      </c>
      <c r="B29">
        <f>'UWP Example'!F30</f>
        <v>106.71641287455861</v>
      </c>
      <c r="C29" s="1">
        <f>'UWP Example'!I30</f>
        <v>2194.8214530168143</v>
      </c>
      <c r="D29" s="1"/>
      <c r="E29">
        <f t="shared" si="1"/>
        <v>3.9243248030750539</v>
      </c>
      <c r="F29">
        <f t="shared" si="2"/>
        <v>32.527162644165465</v>
      </c>
      <c r="G29" s="1">
        <f t="shared" si="3"/>
        <v>1636.6783575146385</v>
      </c>
      <c r="H29" s="2">
        <f t="shared" si="4"/>
        <v>0.7650975201791288</v>
      </c>
      <c r="I29" s="1"/>
      <c r="J29" s="1"/>
    </row>
    <row r="30" spans="1:130" x14ac:dyDescent="0.35">
      <c r="A30">
        <f>'UWP Example'!E31</f>
        <v>67856.522936281777</v>
      </c>
      <c r="B30">
        <f>'UWP Example'!F31</f>
        <v>102.93579120384601</v>
      </c>
      <c r="C30" s="1">
        <f>'UWP Example'!I31</f>
        <v>2378.1695287931802</v>
      </c>
      <c r="D30" s="1"/>
      <c r="E30">
        <f t="shared" si="1"/>
        <v>4.281081603354604</v>
      </c>
      <c r="F30">
        <f t="shared" si="2"/>
        <v>31.374829158932265</v>
      </c>
      <c r="G30" s="1">
        <f t="shared" si="3"/>
        <v>1773.4010176210745</v>
      </c>
      <c r="H30" s="2">
        <f t="shared" si="4"/>
        <v>0.74301388539272817</v>
      </c>
      <c r="I30" s="1"/>
      <c r="J30" s="1"/>
    </row>
    <row r="31" spans="1:130" x14ac:dyDescent="0.35">
      <c r="A31">
        <f>'UWP Example'!E32</f>
        <v>73511.233180971933</v>
      </c>
      <c r="B31">
        <f>'UWP Example'!F32</f>
        <v>99.206505420777461</v>
      </c>
      <c r="C31" s="1">
        <f>'UWP Example'!I32</f>
        <v>2583.2954600789976</v>
      </c>
      <c r="D31" s="1"/>
      <c r="E31">
        <f t="shared" si="1"/>
        <v>4.6378384036341549</v>
      </c>
      <c r="F31">
        <f t="shared" si="2"/>
        <v>30.23814285225297</v>
      </c>
      <c r="G31" s="1">
        <f t="shared" si="3"/>
        <v>1926.3634245809087</v>
      </c>
      <c r="H31" s="2">
        <f t="shared" si="4"/>
        <v>0.71416984789027727</v>
      </c>
      <c r="I31" s="1"/>
      <c r="J31" s="1"/>
    </row>
    <row r="32" spans="1:130" x14ac:dyDescent="0.35">
      <c r="A32">
        <f>'UWP Example'!E33</f>
        <v>79165.943425662088</v>
      </c>
      <c r="B32">
        <f>'UWP Example'!F33</f>
        <v>95.726532788328342</v>
      </c>
      <c r="C32" s="1">
        <f>'UWP Example'!I33</f>
        <v>2819.7044069186713</v>
      </c>
      <c r="D32" s="1"/>
      <c r="E32">
        <f t="shared" si="1"/>
        <v>4.9945952039137058</v>
      </c>
      <c r="F32">
        <f t="shared" si="2"/>
        <v>29.177447193882479</v>
      </c>
      <c r="G32" s="1">
        <f t="shared" si="3"/>
        <v>2102.6535762392532</v>
      </c>
      <c r="H32" s="2">
        <f t="shared" si="4"/>
        <v>0.67990599219003567</v>
      </c>
      <c r="I32" s="1"/>
      <c r="J32" s="1"/>
    </row>
    <row r="33" spans="1:10" x14ac:dyDescent="0.35">
      <c r="A33">
        <f>'UWP Example'!E34</f>
        <v>84820.653670352214</v>
      </c>
      <c r="B33">
        <f>'UWP Example'!F34</f>
        <v>92.696641423399427</v>
      </c>
      <c r="C33" s="1">
        <f>'UWP Example'!I34</f>
        <v>3096.0602601604819</v>
      </c>
      <c r="D33" s="1"/>
      <c r="E33">
        <f t="shared" si="1"/>
        <v>5.351352004193255</v>
      </c>
      <c r="F33">
        <f t="shared" si="2"/>
        <v>28.253936305852147</v>
      </c>
      <c r="G33" s="1">
        <f t="shared" si="3"/>
        <v>2308.7321360016713</v>
      </c>
      <c r="H33" s="2">
        <f t="shared" si="4"/>
        <v>0.64244793906098396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39.2520,</v>
      </c>
      <c r="G37" t="str">
        <f t="shared" ref="G37:G52" si="6">TEXT(E18,"0.000")&amp;": "&amp;TEXT(G18,"0.0000")&amp;","</f>
        <v>0.357: 315.4434,</v>
      </c>
    </row>
    <row r="38" spans="1:10" x14ac:dyDescent="0.35">
      <c r="F38" t="str">
        <f t="shared" si="5"/>
        <v>0.714: 38.5477,</v>
      </c>
      <c r="G38" t="str">
        <f t="shared" si="6"/>
        <v>0.714: 471.3880,</v>
      </c>
    </row>
    <row r="39" spans="1:10" x14ac:dyDescent="0.35">
      <c r="F39" t="str">
        <f t="shared" si="5"/>
        <v>1.070: 38.0726,</v>
      </c>
      <c r="G39" t="str">
        <f t="shared" si="6"/>
        <v>1.070: 611.7085,</v>
      </c>
    </row>
    <row r="40" spans="1:10" x14ac:dyDescent="0.35">
      <c r="F40" t="str">
        <f t="shared" si="5"/>
        <v>1.427: 37.6959,</v>
      </c>
      <c r="G40" t="str">
        <f t="shared" si="6"/>
        <v>1.427: 747.1523,</v>
      </c>
    </row>
    <row r="41" spans="1:10" x14ac:dyDescent="0.35">
      <c r="F41" t="str">
        <f t="shared" si="5"/>
        <v>1.784: 37.3170,</v>
      </c>
      <c r="G41" t="str">
        <f t="shared" si="6"/>
        <v>1.784: 880.2713,</v>
      </c>
    </row>
    <row r="42" spans="1:10" x14ac:dyDescent="0.35">
      <c r="F42" t="str">
        <f t="shared" si="5"/>
        <v>2.141: 36.8609,</v>
      </c>
      <c r="G42" t="str">
        <f t="shared" si="6"/>
        <v>2.141: 1011.0990,</v>
      </c>
    </row>
    <row r="43" spans="1:10" x14ac:dyDescent="0.35">
      <c r="F43" t="str">
        <f t="shared" si="5"/>
        <v>2.497: 36.2777,</v>
      </c>
      <c r="G43" t="str">
        <f t="shared" si="6"/>
        <v>2.497: 1139.0472,</v>
      </c>
    </row>
    <row r="44" spans="1:10" x14ac:dyDescent="0.35">
      <c r="F44" t="str">
        <f t="shared" si="5"/>
        <v>2.854: 35.5428,</v>
      </c>
      <c r="G44" t="str">
        <f t="shared" si="6"/>
        <v>2.854: 1263.9368,</v>
      </c>
    </row>
    <row r="45" spans="1:10" x14ac:dyDescent="0.35">
      <c r="F45" t="str">
        <f t="shared" si="5"/>
        <v>3.032: 35.1174,</v>
      </c>
      <c r="G45" t="str">
        <f t="shared" si="6"/>
        <v>3.032: 1325.4598,</v>
      </c>
    </row>
    <row r="46" spans="1:10" x14ac:dyDescent="0.35">
      <c r="F46" t="str">
        <f t="shared" si="5"/>
        <v>3.211: 34.6557,</v>
      </c>
      <c r="G46" t="str">
        <f t="shared" si="6"/>
        <v>3.211: 1386.6628,</v>
      </c>
    </row>
    <row r="47" spans="1:10" x14ac:dyDescent="0.35">
      <c r="F47" t="str">
        <f t="shared" si="5"/>
        <v>3.568: 33.6377,</v>
      </c>
      <c r="G47" t="str">
        <f t="shared" si="6"/>
        <v>3.568: 1509.5875,</v>
      </c>
    </row>
    <row r="48" spans="1:10" x14ac:dyDescent="0.35">
      <c r="F48" t="str">
        <f t="shared" si="5"/>
        <v>3.924: 32.5272,</v>
      </c>
      <c r="G48" t="str">
        <f t="shared" si="6"/>
        <v>3.924: 1636.6784,</v>
      </c>
    </row>
    <row r="49" spans="6:7" x14ac:dyDescent="0.35">
      <c r="F49" t="str">
        <f t="shared" si="5"/>
        <v>4.281: 31.3748,</v>
      </c>
      <c r="G49" t="str">
        <f t="shared" si="6"/>
        <v>4.281: 1773.4010,</v>
      </c>
    </row>
    <row r="50" spans="6:7" x14ac:dyDescent="0.35">
      <c r="F50" t="str">
        <f t="shared" si="5"/>
        <v>4.638: 30.2381,</v>
      </c>
      <c r="G50" t="str">
        <f t="shared" si="6"/>
        <v>4.638: 1926.3634,</v>
      </c>
    </row>
    <row r="51" spans="6:7" x14ac:dyDescent="0.35">
      <c r="F51" t="str">
        <f t="shared" si="5"/>
        <v>4.995: 29.1774,</v>
      </c>
      <c r="G51" t="str">
        <f t="shared" si="6"/>
        <v>4.995: 2102.6536,</v>
      </c>
    </row>
    <row r="52" spans="6:7" x14ac:dyDescent="0.35">
      <c r="F52" t="str">
        <f t="shared" si="5"/>
        <v>5.351: 28.2539,</v>
      </c>
      <c r="G52" t="str">
        <f t="shared" si="6"/>
        <v>5.351: 2308.7321,</v>
      </c>
    </row>
  </sheetData>
  <conditionalFormatting sqref="DW25">
    <cfRule type="cellIs" dxfId="68" priority="62" operator="between">
      <formula>0.9995</formula>
      <formula>1.0005</formula>
    </cfRule>
  </conditionalFormatting>
  <conditionalFormatting sqref="DW26">
    <cfRule type="cellIs" dxfId="67" priority="61" operator="between">
      <formula>0.99995</formula>
      <formula>1.00005</formula>
    </cfRule>
  </conditionalFormatting>
  <conditionalFormatting sqref="Q25">
    <cfRule type="cellIs" dxfId="66" priority="43" operator="between">
      <formula>0.99995</formula>
      <formula>1.00005</formula>
    </cfRule>
    <cfRule type="cellIs" dxfId="65" priority="44" operator="between">
      <formula>0.9995</formula>
      <formula>1.0005</formula>
    </cfRule>
  </conditionalFormatting>
  <conditionalFormatting sqref="Q26">
    <cfRule type="cellIs" dxfId="64" priority="41" operator="between">
      <formula>0.99995</formula>
      <formula>1.00005</formula>
    </cfRule>
    <cfRule type="cellIs" dxfId="63" priority="42" operator="between">
      <formula>0.9995</formula>
      <formula>1.0005</formula>
    </cfRule>
  </conditionalFormatting>
  <conditionalFormatting sqref="AA25">
    <cfRule type="cellIs" dxfId="62" priority="39" operator="between">
      <formula>0.99995</formula>
      <formula>1.00005</formula>
    </cfRule>
    <cfRule type="cellIs" dxfId="61" priority="40" operator="between">
      <formula>0.9995</formula>
      <formula>1.0005</formula>
    </cfRule>
  </conditionalFormatting>
  <conditionalFormatting sqref="AA26">
    <cfRule type="cellIs" dxfId="60" priority="37" operator="between">
      <formula>0.99995</formula>
      <formula>1.00005</formula>
    </cfRule>
    <cfRule type="cellIs" dxfId="59" priority="38" operator="between">
      <formula>0.9995</formula>
      <formula>1.0005</formula>
    </cfRule>
  </conditionalFormatting>
  <conditionalFormatting sqref="AK25">
    <cfRule type="cellIs" dxfId="58" priority="35" operator="between">
      <formula>0.99995</formula>
      <formula>1.00005</formula>
    </cfRule>
    <cfRule type="cellIs" dxfId="57" priority="36" operator="between">
      <formula>0.9995</formula>
      <formula>1.0005</formula>
    </cfRule>
  </conditionalFormatting>
  <conditionalFormatting sqref="AK26">
    <cfRule type="cellIs" dxfId="56" priority="33" operator="between">
      <formula>0.99995</formula>
      <formula>1.00005</formula>
    </cfRule>
    <cfRule type="cellIs" dxfId="55" priority="34" operator="between">
      <formula>0.9995</formula>
      <formula>1.0005</formula>
    </cfRule>
  </conditionalFormatting>
  <conditionalFormatting sqref="AU25">
    <cfRule type="cellIs" dxfId="54" priority="31" operator="between">
      <formula>0.99995</formula>
      <formula>1.00005</formula>
    </cfRule>
    <cfRule type="cellIs" dxfId="53" priority="32" operator="between">
      <formula>0.9995</formula>
      <formula>1.0005</formula>
    </cfRule>
  </conditionalFormatting>
  <conditionalFormatting sqref="AU26">
    <cfRule type="cellIs" dxfId="52" priority="29" operator="between">
      <formula>0.99995</formula>
      <formula>1.00005</formula>
    </cfRule>
    <cfRule type="cellIs" dxfId="51" priority="30" operator="between">
      <formula>0.9995</formula>
      <formula>1.0005</formula>
    </cfRule>
  </conditionalFormatting>
  <conditionalFormatting sqref="BE25">
    <cfRule type="cellIs" dxfId="50" priority="27" operator="between">
      <formula>0.99995</formula>
      <formula>1.00005</formula>
    </cfRule>
    <cfRule type="cellIs" dxfId="49" priority="28" operator="between">
      <formula>0.9995</formula>
      <formula>1.0005</formula>
    </cfRule>
  </conditionalFormatting>
  <conditionalFormatting sqref="BE26">
    <cfRule type="cellIs" dxfId="48" priority="25" operator="between">
      <formula>0.99995</formula>
      <formula>1.00005</formula>
    </cfRule>
    <cfRule type="cellIs" dxfId="47" priority="26" operator="between">
      <formula>0.9995</formula>
      <formula>1.0005</formula>
    </cfRule>
  </conditionalFormatting>
  <conditionalFormatting sqref="BO25">
    <cfRule type="cellIs" dxfId="46" priority="23" operator="between">
      <formula>0.99995</formula>
      <formula>1.00005</formula>
    </cfRule>
    <cfRule type="cellIs" dxfId="45" priority="24" operator="between">
      <formula>0.9995</formula>
      <formula>1.0005</formula>
    </cfRule>
  </conditionalFormatting>
  <conditionalFormatting sqref="BO26">
    <cfRule type="cellIs" dxfId="44" priority="21" operator="between">
      <formula>0.99995</formula>
      <formula>1.00005</formula>
    </cfRule>
    <cfRule type="cellIs" dxfId="43" priority="22" operator="between">
      <formula>0.9995</formula>
      <formula>1.0005</formula>
    </cfRule>
  </conditionalFormatting>
  <conditionalFormatting sqref="BY25">
    <cfRule type="cellIs" dxfId="42" priority="19" operator="between">
      <formula>0.99995</formula>
      <formula>1.00005</formula>
    </cfRule>
    <cfRule type="cellIs" dxfId="41" priority="20" operator="between">
      <formula>0.9995</formula>
      <formula>1.0005</formula>
    </cfRule>
  </conditionalFormatting>
  <conditionalFormatting sqref="BY26">
    <cfRule type="cellIs" dxfId="40" priority="17" operator="between">
      <formula>0.99995</formula>
      <formula>1.00005</formula>
    </cfRule>
    <cfRule type="cellIs" dxfId="39" priority="18" operator="between">
      <formula>0.9995</formula>
      <formula>1.0005</formula>
    </cfRule>
  </conditionalFormatting>
  <conditionalFormatting sqref="CI25">
    <cfRule type="cellIs" dxfId="38" priority="15" operator="between">
      <formula>0.99995</formula>
      <formula>1.00005</formula>
    </cfRule>
    <cfRule type="cellIs" dxfId="37" priority="16" operator="between">
      <formula>0.9995</formula>
      <formula>1.0005</formula>
    </cfRule>
  </conditionalFormatting>
  <conditionalFormatting sqref="CI26">
    <cfRule type="cellIs" dxfId="36" priority="13" operator="between">
      <formula>0.99995</formula>
      <formula>1.00005</formula>
    </cfRule>
    <cfRule type="cellIs" dxfId="35" priority="14" operator="between">
      <formula>0.9995</formula>
      <formula>1.0005</formula>
    </cfRule>
  </conditionalFormatting>
  <conditionalFormatting sqref="CS25">
    <cfRule type="cellIs" dxfId="34" priority="11" operator="between">
      <formula>0.99995</formula>
      <formula>1.00005</formula>
    </cfRule>
    <cfRule type="cellIs" dxfId="33" priority="12" operator="between">
      <formula>0.9995</formula>
      <formula>1.0005</formula>
    </cfRule>
  </conditionalFormatting>
  <conditionalFormatting sqref="CS26">
    <cfRule type="cellIs" dxfId="32" priority="9" operator="between">
      <formula>0.99995</formula>
      <formula>1.00005</formula>
    </cfRule>
    <cfRule type="cellIs" dxfId="31" priority="10" operator="between">
      <formula>0.9995</formula>
      <formula>1.0005</formula>
    </cfRule>
  </conditionalFormatting>
  <conditionalFormatting sqref="DC25">
    <cfRule type="cellIs" dxfId="30" priority="7" operator="between">
      <formula>0.99995</formula>
      <formula>1.00005</formula>
    </cfRule>
    <cfRule type="cellIs" dxfId="29" priority="8" operator="between">
      <formula>0.9995</formula>
      <formula>1.0005</formula>
    </cfRule>
  </conditionalFormatting>
  <conditionalFormatting sqref="DC26">
    <cfRule type="cellIs" dxfId="28" priority="5" operator="between">
      <formula>0.99995</formula>
      <formula>1.00005</formula>
    </cfRule>
    <cfRule type="cellIs" dxfId="27" priority="6" operator="between">
      <formula>0.9995</formula>
      <formula>1.0005</formula>
    </cfRule>
  </conditionalFormatting>
  <conditionalFormatting sqref="DM25">
    <cfRule type="cellIs" dxfId="26" priority="3" operator="between">
      <formula>0.99995</formula>
      <formula>1.00005</formula>
    </cfRule>
    <cfRule type="cellIs" dxfId="25" priority="4" operator="between">
      <formula>0.9995</formula>
      <formula>1.0005</formula>
    </cfRule>
  </conditionalFormatting>
  <conditionalFormatting sqref="DM26">
    <cfRule type="cellIs" dxfId="24" priority="1" operator="between">
      <formula>0.99995</formula>
      <formula>1.00005</formula>
    </cfRule>
    <cfRule type="cellIs" dxfId="23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A8" workbookViewId="0">
      <selection activeCell="A9" sqref="A9:XFD15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'UWP Example'!E19</f>
        <v>5654.7102446901481</v>
      </c>
      <c r="B18">
        <f>'UWP Example'!F19</f>
        <v>128.77954722775996</v>
      </c>
      <c r="C18">
        <f>'UWP Example'!I19</f>
        <v>423.01645511610997</v>
      </c>
      <c r="E18">
        <f>A18*0.0000630902</f>
        <v>0.35675680027955037</v>
      </c>
      <c r="F18">
        <f>B18*0.3048</f>
        <v>39.252005995021236</v>
      </c>
      <c r="G18">
        <f>+C18*0.7457</f>
        <v>315.44337058008324</v>
      </c>
      <c r="H18" s="2">
        <f>$D$14*E18*F18/G18</f>
        <v>0.43549354221240544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'UWP Example'!E20</f>
        <v>11309.420489380296</v>
      </c>
      <c r="B19">
        <f>'UWP Example'!F20</f>
        <v>126.46893477175057</v>
      </c>
      <c r="C19">
        <f>'UWP Example'!I20</f>
        <v>632.14155154173</v>
      </c>
      <c r="E19">
        <f t="shared" ref="E19:E33" si="1">A19*0.0000630902</f>
        <v>0.71351360055910074</v>
      </c>
      <c r="F19">
        <f t="shared" ref="F19:F33" si="2">B19*0.3048</f>
        <v>38.547731318429577</v>
      </c>
      <c r="G19">
        <f t="shared" ref="G19:G33" si="3">+C19*0.7457</f>
        <v>471.38795498466806</v>
      </c>
      <c r="H19" s="2">
        <f t="shared" ref="H19:H33" si="4">$D$14*E19*F19/G19</f>
        <v>0.57238942998688913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'UWP Example'!E21</f>
        <v>16964.130734070444</v>
      </c>
      <c r="B20">
        <f>'UWP Example'!F21</f>
        <v>124.91004010607162</v>
      </c>
      <c r="C20">
        <f>'UWP Example'!I21</f>
        <v>820.31448815779402</v>
      </c>
      <c r="E20">
        <f t="shared" si="1"/>
        <v>1.070270400838651</v>
      </c>
      <c r="F20">
        <f t="shared" si="2"/>
        <v>38.072580224330629</v>
      </c>
      <c r="G20">
        <f t="shared" si="3"/>
        <v>611.70851381926707</v>
      </c>
      <c r="H20" s="2">
        <f t="shared" si="4"/>
        <v>0.65347700148589161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'UWP Example'!E22</f>
        <v>22618.840978760592</v>
      </c>
      <c r="B21">
        <f>'UWP Example'!F22</f>
        <v>123.6743409742791</v>
      </c>
      <c r="C21">
        <f>'UWP Example'!I22</f>
        <v>1001.9476297128465</v>
      </c>
      <c r="E21">
        <f t="shared" si="1"/>
        <v>1.4270272011182015</v>
      </c>
      <c r="F21">
        <f t="shared" si="2"/>
        <v>37.695939128960276</v>
      </c>
      <c r="G21">
        <f t="shared" si="3"/>
        <v>747.15234747686964</v>
      </c>
      <c r="H21" s="2">
        <f t="shared" si="4"/>
        <v>0.70629586064025907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'UWP Example'!E23</f>
        <v>28273.551223450744</v>
      </c>
      <c r="B22">
        <f>'UWP Example'!F23</f>
        <v>122.43118395228331</v>
      </c>
      <c r="C22">
        <f>'UWP Example'!I23</f>
        <v>1180.4630947101639</v>
      </c>
      <c r="E22">
        <f t="shared" si="1"/>
        <v>1.783784001397752</v>
      </c>
      <c r="F22">
        <f t="shared" si="2"/>
        <v>37.317024868655956</v>
      </c>
      <c r="G22">
        <f t="shared" si="3"/>
        <v>880.27132972536924</v>
      </c>
      <c r="H22" s="2">
        <f t="shared" si="4"/>
        <v>0.74182544641064718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'UWP Example'!E24</f>
        <v>33928.261468140889</v>
      </c>
      <c r="B23">
        <f>'UWP Example'!F24</f>
        <v>120.93469108976373</v>
      </c>
      <c r="C23">
        <f>'UWP Example'!I24</f>
        <v>1355.9058290788801</v>
      </c>
      <c r="E23">
        <f t="shared" si="1"/>
        <v>2.140540801677302</v>
      </c>
      <c r="F23">
        <f t="shared" si="2"/>
        <v>36.860893844159989</v>
      </c>
      <c r="G23">
        <f t="shared" si="3"/>
        <v>1011.0989767441209</v>
      </c>
      <c r="H23" s="2">
        <f t="shared" si="4"/>
        <v>0.76553439714709448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'UWP Example'!E25</f>
        <v>39582.971712831044</v>
      </c>
      <c r="B24">
        <f>'UWP Example'!F25</f>
        <v>119.02138404467523</v>
      </c>
      <c r="C24">
        <f>'UWP Example'!I25</f>
        <v>1527.4871589926445</v>
      </c>
      <c r="E24">
        <f t="shared" si="1"/>
        <v>2.4972976019568529</v>
      </c>
      <c r="F24">
        <f t="shared" si="2"/>
        <v>36.277717856817013</v>
      </c>
      <c r="G24">
        <f t="shared" si="3"/>
        <v>1139.0471744608151</v>
      </c>
      <c r="H24" s="2">
        <f t="shared" si="4"/>
        <v>0.78025678745052029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'UWP Example'!E26</f>
        <v>45237.681957521185</v>
      </c>
      <c r="B25">
        <f>'UWP Example'!F26</f>
        <v>116.61025983489759</v>
      </c>
      <c r="C25" s="1">
        <f>'UWP Example'!I26</f>
        <v>1694.9668537855787</v>
      </c>
      <c r="D25" s="1"/>
      <c r="E25" s="17">
        <f t="shared" si="1"/>
        <v>2.8540544022364029</v>
      </c>
      <c r="F25">
        <f t="shared" si="2"/>
        <v>35.542807197676787</v>
      </c>
      <c r="G25" s="1">
        <f t="shared" si="3"/>
        <v>1263.936782867906</v>
      </c>
      <c r="H25" s="3">
        <f>$D$14*E25*F25/G25</f>
        <v>0.78733150025836629</v>
      </c>
      <c r="I25" s="1"/>
      <c r="J25" s="1"/>
      <c r="K25" s="7">
        <f>$D$6*($D$12/(G25*$B$15))^0.5</f>
        <v>2.9478684759327294</v>
      </c>
      <c r="L25" s="6">
        <f>K25/$D$6</f>
        <v>0.84224813598077986</v>
      </c>
      <c r="M25" s="10">
        <f>E25/L25</f>
        <v>3.3886146852826431</v>
      </c>
      <c r="N25" s="9" cm="1">
        <f t="array" ref="N25">raninterp($E$18:$E$33,$G$18:$G$33,M25)</f>
        <v>1447.9270113894167</v>
      </c>
      <c r="O25" s="9">
        <f>N25*L25^3*$B$15</f>
        <v>863.54388083603726</v>
      </c>
      <c r="P25" s="18">
        <f>O25/$D$12</f>
        <v>0.96485349814082377</v>
      </c>
      <c r="Q25" s="9" cm="1">
        <f t="array" ref="Q25">raninterp($E$18:$E$33,$F$18:$F$33,M25)</f>
        <v>34.148332056547289</v>
      </c>
      <c r="R25" s="8">
        <f>Q25*L25^2*$B$15</f>
        <v>24.180605869592721</v>
      </c>
      <c r="S25" s="3">
        <f>$D$14*M25*Q25/N25</f>
        <v>0.78399631570920603</v>
      </c>
      <c r="T25" s="12">
        <f>K25*($D$12/O25)^0.5</f>
        <v>3.0010789107718341</v>
      </c>
      <c r="U25" s="13">
        <f>T25/$D$6</f>
        <v>0.8574511173633812</v>
      </c>
      <c r="V25" s="12">
        <f>$E25/U25</f>
        <v>3.3285330725470108</v>
      </c>
      <c r="W25" s="14" cm="1">
        <f t="array" ref="W25">raninterp($E$18:$E$33,$G$18:$G$33,V25)</f>
        <v>1427.2251945382811</v>
      </c>
      <c r="X25" s="14">
        <f>W25*U25^3*$B$15</f>
        <v>898.12788598768509</v>
      </c>
      <c r="Y25" s="15">
        <f>X25/$D$12</f>
        <v>1.0034948446789778</v>
      </c>
      <c r="Z25" s="16" cm="1">
        <f t="array" ref="Z25">raninterp($E$18:$E$33,$F$18:$F$33,V25)</f>
        <v>34.319784276021736</v>
      </c>
      <c r="AA25" s="16">
        <f>Z25*U25^2*$B$15</f>
        <v>25.187255988924345</v>
      </c>
      <c r="AB25" s="5">
        <f>$D$14*V25*Z25/W25</f>
        <v>0.78518849885191333</v>
      </c>
      <c r="AC25" s="19">
        <f>T25*($D$12/X25)^0.5</f>
        <v>2.9958484641536711</v>
      </c>
      <c r="AD25" s="20">
        <f>AC25/$D$6</f>
        <v>0.855956704043906</v>
      </c>
      <c r="AE25" s="21">
        <f>$E25/AD25</f>
        <v>3.334344352643805</v>
      </c>
      <c r="AF25" s="22" cm="1">
        <f t="array" ref="AF25">raninterp($E$18:$E$33,$G$18:$G$33,AE25)</f>
        <v>1429.2275385293428</v>
      </c>
      <c r="AG25" s="22">
        <f>AF25*AD25^3*$B$15</f>
        <v>894.69360777895258</v>
      </c>
      <c r="AH25" s="23">
        <f>AG25/$D$12</f>
        <v>0.99965766232285203</v>
      </c>
      <c r="AI25" s="31" cm="1">
        <f t="array" ref="AI25">raninterp($E$18:$E$33,$F$18:$F$33,AE25)</f>
        <v>34.303200885110328</v>
      </c>
      <c r="AJ25" s="8">
        <f>AI25*AD25^2*$B$15</f>
        <v>25.087408857260005</v>
      </c>
      <c r="AK25" s="24">
        <f>$D$14*AE25*AI25/AF25</f>
        <v>0.78507785587103252</v>
      </c>
      <c r="AL25" s="12">
        <f>AC25*($D$12/AG25)^0.5</f>
        <v>2.9963613917554146</v>
      </c>
      <c r="AM25" s="13">
        <f>AL25/$D$6</f>
        <v>0.85610325478726135</v>
      </c>
      <c r="AN25" s="12">
        <f>$E25/AM25</f>
        <v>3.3337735679390978</v>
      </c>
      <c r="AO25" s="14" cm="1">
        <f t="array" ref="AO25">raninterp($E$18:$E$33,$G$18:$G$33,AN25)</f>
        <v>1429.0308680359879</v>
      </c>
      <c r="AP25" s="14">
        <f>AO25*AM25^3*$B$15</f>
        <v>895.03005686852555</v>
      </c>
      <c r="AQ25" s="15">
        <f>AP25/$D$12</f>
        <v>1.0000335830933247</v>
      </c>
      <c r="AR25" s="16" cm="1">
        <f t="array" ref="AR25">raninterp($E$18:$E$33,$F$18:$F$33,AN25)</f>
        <v>34.304829707973234</v>
      </c>
      <c r="AS25" s="16">
        <f>AR25*AM25^2*$B$15</f>
        <v>25.097191799945804</v>
      </c>
      <c r="AT25" s="5">
        <f>$D$14*AN25*AR25/AO25</f>
        <v>0.78508876810447559</v>
      </c>
      <c r="AU25" s="7">
        <f>AL25*($D$12/AP25)^0.5</f>
        <v>2.9963110794805154</v>
      </c>
      <c r="AV25" s="6">
        <f>AU25/$D$6</f>
        <v>0.85608887985157589</v>
      </c>
      <c r="AW25" s="10">
        <f>$E25/AV25</f>
        <v>3.3338295466835448</v>
      </c>
      <c r="AX25" s="9" cm="1">
        <f t="array" ref="AX25">raninterp($E$18:$E$33,$G$18:$G$33,AW25)</f>
        <v>1429.0501561619608</v>
      </c>
      <c r="AY25" s="9">
        <f>AX25*AV25^3*$B$15</f>
        <v>894.99705186727522</v>
      </c>
      <c r="AZ25" s="18">
        <f>AY25/$D$12</f>
        <v>0.99999670599695556</v>
      </c>
      <c r="BA25" s="9" cm="1">
        <f t="array" ref="BA25">raninterp($E$18:$E$33,$F$18:$F$33,AW25)</f>
        <v>34.304669963926067</v>
      </c>
      <c r="BB25" s="9">
        <f>BA25*AV25^2*$B$15</f>
        <v>25.096232123127383</v>
      </c>
      <c r="BC25" s="3">
        <f>$D$14*AW25*BA25/AX25</f>
        <v>0.7850876983373325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'UWP Example'!E27</f>
        <v>48065.03707986627</v>
      </c>
      <c r="B26">
        <f>'UWP Example'!F27</f>
        <v>115.21464999837222</v>
      </c>
      <c r="C26" s="1">
        <f>'UWP Example'!I27</f>
        <v>1777.4705738310452</v>
      </c>
      <c r="D26" s="1"/>
      <c r="E26">
        <f t="shared" si="1"/>
        <v>3.0324328023761788</v>
      </c>
      <c r="F26">
        <f t="shared" si="2"/>
        <v>35.117425319503859</v>
      </c>
      <c r="G26" s="1">
        <f t="shared" si="3"/>
        <v>1325.4598069058104</v>
      </c>
      <c r="H26" s="2">
        <f t="shared" si="4"/>
        <v>0.78816346231372103</v>
      </c>
      <c r="I26" s="1"/>
      <c r="J26" s="1"/>
      <c r="K26" s="7">
        <f>$D$6*($D$12/(G26*$B$15))^0.5</f>
        <v>2.8786409414935621</v>
      </c>
      <c r="L26" s="6">
        <f>K26/$D$6</f>
        <v>0.82246884042673207</v>
      </c>
      <c r="M26" s="10">
        <f>E26/L26</f>
        <v>3.6869880697277515</v>
      </c>
      <c r="N26" s="9" cm="1">
        <f t="array" ref="N26">raninterp($E$18:$E$33,$G$18:$G$33,M26)</f>
        <v>1552.1296117777008</v>
      </c>
      <c r="O26" s="9">
        <f>N26*L26^3*$B$15</f>
        <v>861.99334044608747</v>
      </c>
      <c r="P26" s="18">
        <f>O26/$D$12</f>
        <v>0.96312105077775134</v>
      </c>
      <c r="Q26" s="9" cm="1">
        <f t="array" ref="Q26">raninterp($E$18:$E$33,$F$18:$F$33,M26)</f>
        <v>33.265934941804574</v>
      </c>
      <c r="R26" s="8">
        <f>Q26*L26^2*$B$15</f>
        <v>22.462402569881036</v>
      </c>
      <c r="S26" s="3">
        <f>$D$14*M26*Q26/N26</f>
        <v>0.77519772411950416</v>
      </c>
      <c r="T26" s="12">
        <f>K26*($D$12/O26)^0.5</f>
        <v>2.9332363627795544</v>
      </c>
      <c r="U26" s="13">
        <f>T26/$D$6</f>
        <v>0.83806753222272978</v>
      </c>
      <c r="V26" s="12">
        <f>$E26/U26</f>
        <v>3.6183633010260343</v>
      </c>
      <c r="W26" s="14" cm="1">
        <f t="array" ref="W26">raninterp($E$18:$E$33,$G$18:$G$33,V26)</f>
        <v>1527.6827508203321</v>
      </c>
      <c r="X26" s="14">
        <f>W26*U26^3*$B$15</f>
        <v>897.61021882007515</v>
      </c>
      <c r="Y26" s="15">
        <f>X26/$D$12</f>
        <v>1.0029164456090225</v>
      </c>
      <c r="Z26" s="16" cm="1">
        <f t="array" ref="Z26">raninterp($E$18:$E$33,$F$18:$F$33,V26)</f>
        <v>33.479547379010121</v>
      </c>
      <c r="AA26" s="16">
        <f>Z26*U26^2*$B$15</f>
        <v>23.472274490191424</v>
      </c>
      <c r="AB26" s="5">
        <f>$D$14*V26*Z26/W26</f>
        <v>0.77790682235239028</v>
      </c>
      <c r="AC26" s="7">
        <f>T26*($D$12/X26)^0.5</f>
        <v>2.9289683838550533</v>
      </c>
      <c r="AD26" s="6">
        <f>AC26/$D$6</f>
        <v>0.83684810967287238</v>
      </c>
      <c r="AE26" s="10">
        <f>$E26/AD26</f>
        <v>3.6236358394375419</v>
      </c>
      <c r="AF26" s="9" cm="1">
        <f t="array" ref="AF26">raninterp($E$18:$E$33,$G$18:$G$33,AE26)</f>
        <v>1529.5610378568797</v>
      </c>
      <c r="AG26" s="9">
        <f>AF26*AD26^3*$B$15</f>
        <v>894.79654038964372</v>
      </c>
      <c r="AH26" s="18">
        <f>AG26/$D$12</f>
        <v>0.99977267082641752</v>
      </c>
      <c r="AI26" s="8" cm="1">
        <f t="array" ref="AI26">raninterp($E$18:$E$33,$F$18:$F$33,AE26)</f>
        <v>33.463135232176704</v>
      </c>
      <c r="AJ26" s="8">
        <f>AI26*AD26^2*$B$15</f>
        <v>23.392544964777546</v>
      </c>
      <c r="AK26" s="3">
        <f>$D$14*AE26*AI26/AF26</f>
        <v>0.77770227586022733</v>
      </c>
      <c r="AL26" s="12">
        <f>AC26*($D$12/AG26)^0.5</f>
        <v>2.9293013606087022</v>
      </c>
      <c r="AM26" s="13">
        <f>AL26/$D$6</f>
        <v>0.83694324588820057</v>
      </c>
      <c r="AN26" s="12">
        <f>$E26/AM26</f>
        <v>3.6232239369564772</v>
      </c>
      <c r="AO26" s="14" cm="1">
        <f t="array" ref="AO26">raninterp($E$18:$E$33,$G$18:$G$33,AN26)</f>
        <v>1529.4143018769544</v>
      </c>
      <c r="AP26" s="14">
        <f>AO26*AM26^3*$B$15</f>
        <v>895.01587700553307</v>
      </c>
      <c r="AQ26" s="15">
        <f>AP26/$D$12</f>
        <v>1.0000177396709866</v>
      </c>
      <c r="AR26" s="16" cm="1">
        <f t="array" ref="AR26">raninterp($E$18:$E$33,$F$18:$F$33,AN26)</f>
        <v>33.464417385756754</v>
      </c>
      <c r="AS26" s="16">
        <f>AR26*AM26^2*$B$15</f>
        <v>23.398760480495476</v>
      </c>
      <c r="AT26" s="5">
        <f>$D$14*AN26*AR26/AO26</f>
        <v>0.77771827737156018</v>
      </c>
      <c r="AU26" s="7">
        <f>AL26*($D$12/AP26)^0.5</f>
        <v>2.9292753785332075</v>
      </c>
      <c r="AV26" s="6">
        <f>AU26/$D$6</f>
        <v>0.83693582243805931</v>
      </c>
      <c r="AW26" s="10">
        <f>$E26/AV26</f>
        <v>3.6232560742142277</v>
      </c>
      <c r="AX26" s="9" cm="1">
        <f t="array" ref="AX26">raninterp($E$18:$E$33,$G$18:$G$33,AW26)</f>
        <v>1529.4257504411776</v>
      </c>
      <c r="AY26" s="9">
        <f>AX26*AV26^3*$B$15</f>
        <v>894.99876114403173</v>
      </c>
      <c r="AZ26" s="18">
        <f>AY26/$D$12</f>
        <v>0.99999861580338745</v>
      </c>
      <c r="BA26" s="9" cm="1">
        <f t="array" ref="BA26">raninterp($E$18:$E$33,$F$18:$F$33,AW26)</f>
        <v>33.464317350185297</v>
      </c>
      <c r="BB26" s="9">
        <f>BA26*AV26^2*$B$15</f>
        <v>23.398275456600828</v>
      </c>
      <c r="BC26" s="3">
        <f>$D$14*AW26*BA26/AX26</f>
        <v>0.77771702904256046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'UWP Example'!E28</f>
        <v>50892.392202211333</v>
      </c>
      <c r="B27">
        <f>'UWP Example'!F28</f>
        <v>113.69987509120999</v>
      </c>
      <c r="C27" s="1">
        <f>'UWP Example'!I28</f>
        <v>1859.5450693070416</v>
      </c>
      <c r="D27" s="1"/>
      <c r="E27">
        <f t="shared" si="1"/>
        <v>3.210811202515953</v>
      </c>
      <c r="F27">
        <f t="shared" si="2"/>
        <v>34.655721927800805</v>
      </c>
      <c r="G27" s="1">
        <f t="shared" si="3"/>
        <v>1386.6627581822609</v>
      </c>
      <c r="H27" s="2">
        <f t="shared" si="4"/>
        <v>0.78720505709989486</v>
      </c>
      <c r="I27" s="1"/>
      <c r="J27" s="1"/>
    </row>
    <row r="28" spans="1:64" x14ac:dyDescent="0.35">
      <c r="A28">
        <f>'UWP Example'!E29</f>
        <v>56547.102446901488</v>
      </c>
      <c r="B28">
        <f>'UWP Example'!F29</f>
        <v>110.35978003000319</v>
      </c>
      <c r="C28" s="1">
        <f>'UWP Example'!I29</f>
        <v>2024.3897726980988</v>
      </c>
      <c r="D28" s="1"/>
      <c r="E28">
        <f t="shared" si="1"/>
        <v>3.5675680027955039</v>
      </c>
      <c r="F28">
        <f t="shared" si="2"/>
        <v>33.637660953144973</v>
      </c>
      <c r="G28" s="1">
        <f t="shared" si="3"/>
        <v>1509.5874535009723</v>
      </c>
      <c r="H28" s="2">
        <f t="shared" si="4"/>
        <v>0.77984587389820104</v>
      </c>
      <c r="I28" s="1"/>
      <c r="J28" s="1"/>
    </row>
    <row r="29" spans="1:64" x14ac:dyDescent="0.35">
      <c r="A29">
        <f>'UWP Example'!E30</f>
        <v>62201.812691591629</v>
      </c>
      <c r="B29">
        <f>'UWP Example'!F30</f>
        <v>106.71641287455861</v>
      </c>
      <c r="C29" s="1">
        <f>'UWP Example'!I30</f>
        <v>2194.8214530168143</v>
      </c>
      <c r="D29" s="1"/>
      <c r="E29">
        <f t="shared" si="1"/>
        <v>3.9243248030750539</v>
      </c>
      <c r="F29">
        <f t="shared" si="2"/>
        <v>32.527162644165465</v>
      </c>
      <c r="G29" s="1">
        <f t="shared" si="3"/>
        <v>1636.6783575146385</v>
      </c>
      <c r="H29" s="2">
        <f t="shared" si="4"/>
        <v>0.7650975201791288</v>
      </c>
      <c r="I29" s="1"/>
      <c r="J29" s="1"/>
    </row>
    <row r="30" spans="1:64" x14ac:dyDescent="0.35">
      <c r="A30">
        <f>'UWP Example'!E31</f>
        <v>67856.522936281777</v>
      </c>
      <c r="B30">
        <f>'UWP Example'!F31</f>
        <v>102.93579120384601</v>
      </c>
      <c r="C30" s="1">
        <f>'UWP Example'!I31</f>
        <v>2378.1695287931802</v>
      </c>
      <c r="D30" s="1"/>
      <c r="E30">
        <f t="shared" si="1"/>
        <v>4.281081603354604</v>
      </c>
      <c r="F30">
        <f t="shared" si="2"/>
        <v>31.374829158932265</v>
      </c>
      <c r="G30" s="1">
        <f t="shared" si="3"/>
        <v>1773.4010176210745</v>
      </c>
      <c r="H30" s="2">
        <f t="shared" si="4"/>
        <v>0.74301388539272817</v>
      </c>
      <c r="I30" s="1"/>
      <c r="J30" s="1"/>
    </row>
    <row r="31" spans="1:64" x14ac:dyDescent="0.35">
      <c r="A31">
        <f>'UWP Example'!E32</f>
        <v>73511.233180971933</v>
      </c>
      <c r="B31">
        <f>'UWP Example'!F32</f>
        <v>99.206505420777461</v>
      </c>
      <c r="C31" s="1">
        <f>'UWP Example'!I32</f>
        <v>2583.2954600789976</v>
      </c>
      <c r="D31" s="1"/>
      <c r="E31">
        <f t="shared" si="1"/>
        <v>4.6378384036341549</v>
      </c>
      <c r="F31">
        <f t="shared" si="2"/>
        <v>30.23814285225297</v>
      </c>
      <c r="G31" s="1">
        <f t="shared" si="3"/>
        <v>1926.3634245809087</v>
      </c>
      <c r="H31" s="2">
        <f t="shared" si="4"/>
        <v>0.71416984789027727</v>
      </c>
      <c r="I31" s="1"/>
      <c r="J31" s="1"/>
    </row>
    <row r="32" spans="1:64" x14ac:dyDescent="0.35">
      <c r="A32">
        <f>'UWP Example'!E33</f>
        <v>79165.943425662088</v>
      </c>
      <c r="B32">
        <f>'UWP Example'!F33</f>
        <v>95.726532788328342</v>
      </c>
      <c r="C32" s="1">
        <f>'UWP Example'!I33</f>
        <v>2819.7044069186713</v>
      </c>
      <c r="D32" s="1"/>
      <c r="E32">
        <f t="shared" si="1"/>
        <v>4.9945952039137058</v>
      </c>
      <c r="F32">
        <f t="shared" si="2"/>
        <v>29.177447193882479</v>
      </c>
      <c r="G32" s="1">
        <f t="shared" si="3"/>
        <v>2102.6535762392532</v>
      </c>
      <c r="H32" s="2">
        <f t="shared" si="4"/>
        <v>0.67990599219003567</v>
      </c>
      <c r="I32" s="1"/>
      <c r="J32" s="1"/>
    </row>
    <row r="33" spans="1:10" x14ac:dyDescent="0.35">
      <c r="A33">
        <f>'UWP Example'!E34</f>
        <v>84820.653670352214</v>
      </c>
      <c r="B33">
        <f>'UWP Example'!F34</f>
        <v>92.696641423399427</v>
      </c>
      <c r="C33" s="1">
        <f>'UWP Example'!I34</f>
        <v>3096.0602601604819</v>
      </c>
      <c r="D33" s="1"/>
      <c r="E33">
        <f t="shared" si="1"/>
        <v>5.351352004193255</v>
      </c>
      <c r="F33">
        <f t="shared" si="2"/>
        <v>28.253936305852147</v>
      </c>
      <c r="G33" s="1">
        <f t="shared" si="3"/>
        <v>2308.7321360016713</v>
      </c>
      <c r="H33" s="2">
        <f t="shared" si="4"/>
        <v>0.64244793906098396</v>
      </c>
      <c r="I33" s="1"/>
      <c r="J33" s="1"/>
    </row>
    <row r="37" spans="1:10" x14ac:dyDescent="0.35">
      <c r="F37" t="str">
        <f>TEXT(E18,"0.0000000")&amp;": "&amp;TEXT(F18,"0.000000")&amp;","</f>
        <v>0.3567568: 39.252006,</v>
      </c>
      <c r="G37" t="str">
        <f>TEXT(E18,"0.000000")&amp;": "&amp;TEXT(G18,"0.000000")&amp;","</f>
        <v>0.356757: 315.443371,</v>
      </c>
    </row>
    <row r="38" spans="1:10" x14ac:dyDescent="0.35">
      <c r="F38" t="str">
        <f t="shared" ref="F38:F52" si="5">TEXT(E19,"0.0000000")&amp;": "&amp;TEXT(F19,"0.000000")&amp;","</f>
        <v>0.7135136: 38.547731,</v>
      </c>
      <c r="G38" t="str">
        <f t="shared" ref="G38:G52" si="6">TEXT(E19,"0.000000")&amp;": "&amp;TEXT(G19,"0.000000")&amp;","</f>
        <v>0.713514: 471.387955,</v>
      </c>
    </row>
    <row r="39" spans="1:10" x14ac:dyDescent="0.35">
      <c r="F39" t="str">
        <f t="shared" si="5"/>
        <v>1.0702704: 38.072580,</v>
      </c>
      <c r="G39" t="str">
        <f t="shared" si="6"/>
        <v>1.070270: 611.708514,</v>
      </c>
    </row>
    <row r="40" spans="1:10" x14ac:dyDescent="0.35">
      <c r="F40" t="str">
        <f t="shared" si="5"/>
        <v>1.4270272: 37.695939,</v>
      </c>
      <c r="G40" t="str">
        <f t="shared" si="6"/>
        <v>1.427027: 747.152347,</v>
      </c>
    </row>
    <row r="41" spans="1:10" x14ac:dyDescent="0.35">
      <c r="F41" t="str">
        <f t="shared" si="5"/>
        <v>1.7837840: 37.317025,</v>
      </c>
      <c r="G41" t="str">
        <f t="shared" si="6"/>
        <v>1.783784: 880.271330,</v>
      </c>
    </row>
    <row r="42" spans="1:10" x14ac:dyDescent="0.35">
      <c r="F42" t="str">
        <f t="shared" si="5"/>
        <v>2.1405408: 36.860894,</v>
      </c>
      <c r="G42" t="str">
        <f t="shared" si="6"/>
        <v>2.140541: 1011.098977,</v>
      </c>
    </row>
    <row r="43" spans="1:10" x14ac:dyDescent="0.35">
      <c r="F43" t="str">
        <f t="shared" si="5"/>
        <v>2.4972976: 36.277718,</v>
      </c>
      <c r="G43" t="str">
        <f t="shared" si="6"/>
        <v>2.497298: 1139.047174,</v>
      </c>
    </row>
    <row r="44" spans="1:10" x14ac:dyDescent="0.35">
      <c r="F44" t="str">
        <f t="shared" si="5"/>
        <v>2.8540544: 35.542807,</v>
      </c>
      <c r="G44" t="str">
        <f t="shared" si="6"/>
        <v>2.854054: 1263.936783,</v>
      </c>
    </row>
    <row r="45" spans="1:10" x14ac:dyDescent="0.35">
      <c r="F45" t="str">
        <f t="shared" si="5"/>
        <v>3.0324328: 35.117425,</v>
      </c>
      <c r="G45" t="str">
        <f t="shared" si="6"/>
        <v>3.032433: 1325.459807,</v>
      </c>
    </row>
    <row r="46" spans="1:10" x14ac:dyDescent="0.35">
      <c r="F46" t="str">
        <f t="shared" si="5"/>
        <v>3.2108112: 34.655722,</v>
      </c>
      <c r="G46" t="str">
        <f t="shared" si="6"/>
        <v>3.210811: 1386.662758,</v>
      </c>
    </row>
    <row r="47" spans="1:10" x14ac:dyDescent="0.35">
      <c r="F47" t="str">
        <f t="shared" si="5"/>
        <v>3.5675680: 33.637661,</v>
      </c>
      <c r="G47" t="str">
        <f t="shared" si="6"/>
        <v>3.567568: 1509.587454,</v>
      </c>
    </row>
    <row r="48" spans="1:10" x14ac:dyDescent="0.35">
      <c r="F48" t="str">
        <f t="shared" si="5"/>
        <v>3.9243248: 32.527163,</v>
      </c>
      <c r="G48" t="str">
        <f t="shared" si="6"/>
        <v>3.924325: 1636.678358,</v>
      </c>
    </row>
    <row r="49" spans="6:7" x14ac:dyDescent="0.35">
      <c r="F49" t="str">
        <f t="shared" si="5"/>
        <v>4.2810816: 31.374829,</v>
      </c>
      <c r="G49" t="str">
        <f t="shared" si="6"/>
        <v>4.281082: 1773.401018,</v>
      </c>
    </row>
    <row r="50" spans="6:7" x14ac:dyDescent="0.35">
      <c r="F50" t="str">
        <f t="shared" si="5"/>
        <v>4.6378384: 30.238143,</v>
      </c>
      <c r="G50" t="str">
        <f t="shared" si="6"/>
        <v>4.637838: 1926.363425,</v>
      </c>
    </row>
    <row r="51" spans="6:7" x14ac:dyDescent="0.35">
      <c r="F51" t="str">
        <f t="shared" si="5"/>
        <v>4.9945952: 29.177447,</v>
      </c>
      <c r="G51" t="str">
        <f t="shared" si="6"/>
        <v>4.994595: 2102.653576,</v>
      </c>
    </row>
    <row r="52" spans="6:7" x14ac:dyDescent="0.35">
      <c r="F52" t="str">
        <f t="shared" si="5"/>
        <v>5.3513520: 28.253936,</v>
      </c>
      <c r="G52" t="str">
        <f t="shared" si="6"/>
        <v>5.351352: 2308.732136,</v>
      </c>
    </row>
  </sheetData>
  <conditionalFormatting sqref="BI25">
    <cfRule type="cellIs" dxfId="22" priority="28" operator="between">
      <formula>0.9995</formula>
      <formula>1.0005</formula>
    </cfRule>
  </conditionalFormatting>
  <conditionalFormatting sqref="BI26">
    <cfRule type="cellIs" dxfId="21" priority="27" operator="between">
      <formula>0.99995</formula>
      <formula>1.00005</formula>
    </cfRule>
  </conditionalFormatting>
  <conditionalFormatting sqref="Y25">
    <cfRule type="cellIs" dxfId="20" priority="19" operator="between">
      <formula>0.99995</formula>
      <formula>1.00005</formula>
    </cfRule>
    <cfRule type="cellIs" dxfId="19" priority="20" operator="between">
      <formula>0.9995</formula>
      <formula>1.0005</formula>
    </cfRule>
  </conditionalFormatting>
  <conditionalFormatting sqref="Y26">
    <cfRule type="cellIs" dxfId="18" priority="17" operator="between">
      <formula>0.99995</formula>
      <formula>1.00005</formula>
    </cfRule>
    <cfRule type="cellIs" dxfId="17" priority="18" operator="between">
      <formula>0.9995</formula>
      <formula>1.0005</formula>
    </cfRule>
  </conditionalFormatting>
  <conditionalFormatting sqref="AH25">
    <cfRule type="cellIs" dxfId="16" priority="15" operator="between">
      <formula>0.99995</formula>
      <formula>1.00005</formula>
    </cfRule>
    <cfRule type="cellIs" dxfId="15" priority="16" operator="between">
      <formula>0.9995</formula>
      <formula>1.0005</formula>
    </cfRule>
  </conditionalFormatting>
  <conditionalFormatting sqref="AH26">
    <cfRule type="cellIs" dxfId="14" priority="13" operator="between">
      <formula>0.99995</formula>
      <formula>1.00005</formula>
    </cfRule>
    <cfRule type="cellIs" dxfId="13" priority="14" operator="between">
      <formula>0.9995</formula>
      <formula>1.0005</formula>
    </cfRule>
  </conditionalFormatting>
  <conditionalFormatting sqref="AQ25">
    <cfRule type="cellIs" dxfId="12" priority="11" operator="between">
      <formula>0.99995</formula>
      <formula>1.00005</formula>
    </cfRule>
    <cfRule type="cellIs" dxfId="11" priority="12" operator="between">
      <formula>0.9995</formula>
      <formula>1.0005</formula>
    </cfRule>
  </conditionalFormatting>
  <conditionalFormatting sqref="AQ26">
    <cfRule type="cellIs" dxfId="10" priority="9" operator="between">
      <formula>0.99995</formula>
      <formula>1.00005</formula>
    </cfRule>
    <cfRule type="cellIs" dxfId="9" priority="10" operator="between">
      <formula>0.9995</formula>
      <formula>1.0005</formula>
    </cfRule>
  </conditionalFormatting>
  <conditionalFormatting sqref="AZ25">
    <cfRule type="cellIs" dxfId="8" priority="7" operator="between">
      <formula>0.99995</formula>
      <formula>1.00005</formula>
    </cfRule>
    <cfRule type="cellIs" dxfId="7" priority="8" operator="between">
      <formula>0.9995</formula>
      <formula>1.0005</formula>
    </cfRule>
  </conditionalFormatting>
  <conditionalFormatting sqref="AZ26">
    <cfRule type="cellIs" dxfId="6" priority="5" operator="between">
      <formula>0.99995</formula>
      <formula>1.00005</formula>
    </cfRule>
    <cfRule type="cellIs" dxfId="5" priority="6" operator="between">
      <formula>0.9995</formula>
      <formula>1.0005</formula>
    </cfRule>
  </conditionalFormatting>
  <conditionalFormatting sqref="P25">
    <cfRule type="cellIs" dxfId="4" priority="3" operator="between">
      <formula>0.99995</formula>
      <formula>1.00005</formula>
    </cfRule>
    <cfRule type="cellIs" dxfId="3" priority="4" operator="between">
      <formula>0.9995</formula>
      <formula>1.0005</formula>
    </cfRule>
  </conditionalFormatting>
  <conditionalFormatting sqref="P26">
    <cfRule type="cellIs" dxfId="2" priority="1" operator="between">
      <formula>0.99995</formula>
      <formula>1.00005</formula>
    </cfRule>
    <cfRule type="cellIs" dxfId="1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V-C</vt:lpstr>
      <vt:lpstr>NS-Eff</vt:lpstr>
      <vt:lpstr>UWP Example</vt:lpstr>
      <vt:lpstr>Torque Limited example</vt:lpstr>
      <vt:lpstr>Power Limited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2021-09-16T19:35:15Z</dcterms:modified>
</cp:coreProperties>
</file>