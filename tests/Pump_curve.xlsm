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crii\PycharmProjects\DHLLDV\tests\"/>
    </mc:Choice>
  </mc:AlternateContent>
  <xr:revisionPtr revIDLastSave="0" documentId="13_ncr:1_{BCE1BD2E-1097-4AD7-97EF-547651859B5F}" xr6:coauthVersionLast="47" xr6:coauthVersionMax="47" xr10:uidLastSave="{00000000-0000-0000-0000-000000000000}"/>
  <bookViews>
    <workbookView xWindow="-110" yWindow="-110" windowWidth="19420" windowHeight="11020" activeTab="3" xr2:uid="{36A6D056-07A8-4E30-AFB9-7896CA916417}"/>
  </bookViews>
  <sheets>
    <sheet name="V-C" sheetId="1" r:id="rId1"/>
    <sheet name="NS-Eff" sheetId="2" r:id="rId2"/>
    <sheet name="Example" sheetId="3" r:id="rId3"/>
    <sheet name="Torque Limited example" sheetId="5" r:id="rId4"/>
    <sheet name="Power Limited example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O26" i="5" l="1"/>
  <c r="DO25" i="5"/>
  <c r="DE26" i="5"/>
  <c r="DE25" i="5"/>
  <c r="CU26" i="5"/>
  <c r="CU25" i="5"/>
  <c r="CK26" i="5"/>
  <c r="CK25" i="5"/>
  <c r="CA26" i="5"/>
  <c r="CA25" i="5"/>
  <c r="BQ26" i="5"/>
  <c r="BQ25" i="5"/>
  <c r="BG26" i="5"/>
  <c r="BG25" i="5"/>
  <c r="AW26" i="5"/>
  <c r="AW25" i="5"/>
  <c r="AM26" i="5"/>
  <c r="AM25" i="5"/>
  <c r="AC26" i="5"/>
  <c r="AC25" i="5"/>
  <c r="S26" i="5"/>
  <c r="S25" i="5"/>
  <c r="AL26" i="4"/>
  <c r="AL25" i="4"/>
  <c r="AJ26" i="4"/>
  <c r="AJ25" i="4"/>
  <c r="AA26" i="4"/>
  <c r="AA25" i="4"/>
  <c r="Z25" i="4" a="1"/>
  <c r="AM26" i="4" l="1"/>
  <c r="AN26" i="4" s="1"/>
  <c r="AM25" i="4"/>
  <c r="AN25" i="4" s="1"/>
  <c r="Z25" i="4"/>
  <c r="AR25" i="4" a="1"/>
  <c r="AO25" i="4" a="1"/>
  <c r="AR26" i="4" a="1"/>
  <c r="AO26" i="4" a="1"/>
  <c r="Z26" i="4" a="1"/>
  <c r="AO26" i="4" l="1"/>
  <c r="AP26" i="4" s="1"/>
  <c r="AR26" i="4"/>
  <c r="AS26" i="4" s="1"/>
  <c r="AO25" i="4"/>
  <c r="AP25" i="4" s="1"/>
  <c r="AR25" i="4"/>
  <c r="AS25" i="4" s="1"/>
  <c r="AT25" i="4"/>
  <c r="Z26" i="4"/>
  <c r="R26" i="4"/>
  <c r="R25" i="4"/>
  <c r="CW26" i="5"/>
  <c r="CW25" i="5"/>
  <c r="CC26" i="5"/>
  <c r="CC25" i="5"/>
  <c r="BI26" i="5"/>
  <c r="BI25" i="5"/>
  <c r="AO26" i="5"/>
  <c r="AO25" i="5"/>
  <c r="AH26" i="5"/>
  <c r="AH25" i="5"/>
  <c r="U25" i="5"/>
  <c r="V25" i="5" s="1"/>
  <c r="U26" i="5"/>
  <c r="V26" i="5"/>
  <c r="W26" i="5" s="1"/>
  <c r="N25" i="5"/>
  <c r="K26" i="5"/>
  <c r="K25" i="5"/>
  <c r="K26" i="4"/>
  <c r="K25" i="4"/>
  <c r="G47" i="4"/>
  <c r="F46" i="4"/>
  <c r="G39" i="4"/>
  <c r="F38" i="4"/>
  <c r="C33" i="5"/>
  <c r="G33" i="5" s="1"/>
  <c r="B33" i="5"/>
  <c r="F33" i="5" s="1"/>
  <c r="A33" i="5"/>
  <c r="E33" i="5" s="1"/>
  <c r="C32" i="5"/>
  <c r="G32" i="5" s="1"/>
  <c r="B32" i="5"/>
  <c r="F32" i="5" s="1"/>
  <c r="A32" i="5"/>
  <c r="E32" i="5" s="1"/>
  <c r="C31" i="5"/>
  <c r="G31" i="5" s="1"/>
  <c r="B31" i="5"/>
  <c r="F31" i="5" s="1"/>
  <c r="A31" i="5"/>
  <c r="E31" i="5" s="1"/>
  <c r="C30" i="5"/>
  <c r="G30" i="5" s="1"/>
  <c r="B30" i="5"/>
  <c r="F30" i="5" s="1"/>
  <c r="A30" i="5"/>
  <c r="E30" i="5" s="1"/>
  <c r="C29" i="5"/>
  <c r="G29" i="5" s="1"/>
  <c r="B29" i="5"/>
  <c r="F29" i="5" s="1"/>
  <c r="A29" i="5"/>
  <c r="E29" i="5" s="1"/>
  <c r="C28" i="5"/>
  <c r="G28" i="5" s="1"/>
  <c r="B28" i="5"/>
  <c r="F28" i="5" s="1"/>
  <c r="A28" i="5"/>
  <c r="E28" i="5" s="1"/>
  <c r="C27" i="5"/>
  <c r="G27" i="5" s="1"/>
  <c r="B27" i="5"/>
  <c r="F27" i="5" s="1"/>
  <c r="A27" i="5"/>
  <c r="E27" i="5" s="1"/>
  <c r="C26" i="5"/>
  <c r="G26" i="5" s="1"/>
  <c r="B26" i="5"/>
  <c r="F26" i="5" s="1"/>
  <c r="A26" i="5"/>
  <c r="E26" i="5" s="1"/>
  <c r="C25" i="5"/>
  <c r="G25" i="5" s="1"/>
  <c r="B25" i="5"/>
  <c r="F25" i="5" s="1"/>
  <c r="A25" i="5"/>
  <c r="E25" i="5" s="1"/>
  <c r="C24" i="5"/>
  <c r="G24" i="5" s="1"/>
  <c r="B24" i="5"/>
  <c r="F24" i="5" s="1"/>
  <c r="A24" i="5"/>
  <c r="E24" i="5" s="1"/>
  <c r="C23" i="5"/>
  <c r="G23" i="5" s="1"/>
  <c r="B23" i="5"/>
  <c r="F23" i="5" s="1"/>
  <c r="A23" i="5"/>
  <c r="E23" i="5" s="1"/>
  <c r="C22" i="5"/>
  <c r="G22" i="5" s="1"/>
  <c r="B22" i="5"/>
  <c r="F22" i="5" s="1"/>
  <c r="A22" i="5"/>
  <c r="E22" i="5" s="1"/>
  <c r="C21" i="5"/>
  <c r="G21" i="5" s="1"/>
  <c r="B21" i="5"/>
  <c r="F21" i="5" s="1"/>
  <c r="A21" i="5"/>
  <c r="E21" i="5" s="1"/>
  <c r="C20" i="5"/>
  <c r="G20" i="5" s="1"/>
  <c r="B20" i="5"/>
  <c r="F20" i="5" s="1"/>
  <c r="A20" i="5"/>
  <c r="E20" i="5" s="1"/>
  <c r="C19" i="5"/>
  <c r="G19" i="5" s="1"/>
  <c r="B19" i="5"/>
  <c r="F19" i="5" s="1"/>
  <c r="A19" i="5"/>
  <c r="E19" i="5" s="1"/>
  <c r="C18" i="5"/>
  <c r="G18" i="5" s="1"/>
  <c r="B18" i="5"/>
  <c r="F18" i="5" s="1"/>
  <c r="A18" i="5"/>
  <c r="E18" i="5" s="1"/>
  <c r="B12" i="5"/>
  <c r="B8" i="5"/>
  <c r="B7" i="5"/>
  <c r="D6" i="5"/>
  <c r="D5" i="5"/>
  <c r="D4" i="5"/>
  <c r="D3" i="5"/>
  <c r="D4" i="4"/>
  <c r="D5" i="4"/>
  <c r="D3" i="4"/>
  <c r="D6" i="4"/>
  <c r="B12" i="4"/>
  <c r="A33" i="4"/>
  <c r="E33" i="4" s="1"/>
  <c r="G52" i="4" s="1"/>
  <c r="B33" i="4"/>
  <c r="F33" i="4" s="1"/>
  <c r="C33" i="4"/>
  <c r="G33" i="4" s="1"/>
  <c r="A19" i="4"/>
  <c r="E19" i="4" s="1"/>
  <c r="G38" i="4" s="1"/>
  <c r="B19" i="4"/>
  <c r="F19" i="4" s="1"/>
  <c r="C19" i="4"/>
  <c r="G19" i="4" s="1"/>
  <c r="A20" i="4"/>
  <c r="E20" i="4" s="1"/>
  <c r="F39" i="4" s="1"/>
  <c r="B20" i="4"/>
  <c r="F20" i="4" s="1"/>
  <c r="C20" i="4"/>
  <c r="G20" i="4" s="1"/>
  <c r="A21" i="4"/>
  <c r="E21" i="4" s="1"/>
  <c r="F40" i="4" s="1"/>
  <c r="B21" i="4"/>
  <c r="F21" i="4" s="1"/>
  <c r="C21" i="4"/>
  <c r="G21" i="4" s="1"/>
  <c r="A22" i="4"/>
  <c r="E22" i="4" s="1"/>
  <c r="G41" i="4" s="1"/>
  <c r="B22" i="4"/>
  <c r="F22" i="4" s="1"/>
  <c r="F41" i="4" s="1"/>
  <c r="C22" i="4"/>
  <c r="G22" i="4" s="1"/>
  <c r="A23" i="4"/>
  <c r="E23" i="4" s="1"/>
  <c r="F42" i="4" s="1"/>
  <c r="B23" i="4"/>
  <c r="F23" i="4" s="1"/>
  <c r="C23" i="4"/>
  <c r="G23" i="4" s="1"/>
  <c r="A24" i="4"/>
  <c r="E24" i="4" s="1"/>
  <c r="F43" i="4" s="1"/>
  <c r="B24" i="4"/>
  <c r="F24" i="4" s="1"/>
  <c r="C24" i="4"/>
  <c r="G24" i="4" s="1"/>
  <c r="A25" i="4"/>
  <c r="E25" i="4" s="1"/>
  <c r="G44" i="4" s="1"/>
  <c r="B25" i="4"/>
  <c r="F25" i="4" s="1"/>
  <c r="C25" i="4"/>
  <c r="G25" i="4" s="1"/>
  <c r="A26" i="4"/>
  <c r="E26" i="4" s="1"/>
  <c r="G45" i="4" s="1"/>
  <c r="B26" i="4"/>
  <c r="F26" i="4" s="1"/>
  <c r="C26" i="4"/>
  <c r="G26" i="4" s="1"/>
  <c r="A27" i="4"/>
  <c r="E27" i="4" s="1"/>
  <c r="G46" i="4" s="1"/>
  <c r="B27" i="4"/>
  <c r="F27" i="4" s="1"/>
  <c r="C27" i="4"/>
  <c r="G27" i="4" s="1"/>
  <c r="A28" i="4"/>
  <c r="E28" i="4" s="1"/>
  <c r="F47" i="4" s="1"/>
  <c r="B28" i="4"/>
  <c r="F28" i="4" s="1"/>
  <c r="C28" i="4"/>
  <c r="G28" i="4" s="1"/>
  <c r="A29" i="4"/>
  <c r="E29" i="4" s="1"/>
  <c r="F48" i="4" s="1"/>
  <c r="B29" i="4"/>
  <c r="F29" i="4" s="1"/>
  <c r="C29" i="4"/>
  <c r="G29" i="4" s="1"/>
  <c r="A30" i="4"/>
  <c r="E30" i="4" s="1"/>
  <c r="G49" i="4" s="1"/>
  <c r="B30" i="4"/>
  <c r="F30" i="4" s="1"/>
  <c r="F49" i="4" s="1"/>
  <c r="C30" i="4"/>
  <c r="G30" i="4" s="1"/>
  <c r="A31" i="4"/>
  <c r="E31" i="4" s="1"/>
  <c r="F50" i="4" s="1"/>
  <c r="B31" i="4"/>
  <c r="F31" i="4" s="1"/>
  <c r="C31" i="4"/>
  <c r="G31" i="4" s="1"/>
  <c r="A32" i="4"/>
  <c r="E32" i="4" s="1"/>
  <c r="G51" i="4" s="1"/>
  <c r="B32" i="4"/>
  <c r="F32" i="4" s="1"/>
  <c r="C32" i="4"/>
  <c r="G32" i="4" s="1"/>
  <c r="C18" i="4"/>
  <c r="G18" i="4" s="1"/>
  <c r="B18" i="4"/>
  <c r="F18" i="4" s="1"/>
  <c r="A18" i="4"/>
  <c r="E18" i="4" s="1"/>
  <c r="F37" i="4" s="1"/>
  <c r="B8" i="4"/>
  <c r="B7" i="4"/>
  <c r="B19" i="3"/>
  <c r="C19" i="3"/>
  <c r="E19" i="3"/>
  <c r="B7" i="3"/>
  <c r="D19" i="3" s="1"/>
  <c r="F19" i="3" s="1"/>
  <c r="B8" i="3"/>
  <c r="E26" i="3"/>
  <c r="E12" i="3"/>
  <c r="E13" i="3"/>
  <c r="E14" i="3"/>
  <c r="E15" i="3"/>
  <c r="E16" i="3"/>
  <c r="E17" i="3"/>
  <c r="E18" i="3"/>
  <c r="E20" i="3"/>
  <c r="E21" i="3"/>
  <c r="E22" i="3"/>
  <c r="E23" i="3"/>
  <c r="E24" i="3"/>
  <c r="E25" i="3"/>
  <c r="E11" i="3"/>
  <c r="C26" i="3"/>
  <c r="C25" i="3"/>
  <c r="C24" i="3"/>
  <c r="C23" i="3"/>
  <c r="C22" i="3"/>
  <c r="C21" i="3"/>
  <c r="C20" i="3"/>
  <c r="C18" i="3"/>
  <c r="C17" i="3"/>
  <c r="C16" i="3"/>
  <c r="C15" i="3"/>
  <c r="C14" i="3"/>
  <c r="C13" i="3"/>
  <c r="C12" i="3"/>
  <c r="C11" i="3"/>
  <c r="B12" i="3"/>
  <c r="B13" i="3"/>
  <c r="B14" i="3"/>
  <c r="B15" i="3"/>
  <c r="B16" i="3"/>
  <c r="B17" i="3"/>
  <c r="B18" i="3"/>
  <c r="B20" i="3"/>
  <c r="B21" i="3"/>
  <c r="B22" i="3"/>
  <c r="B23" i="3"/>
  <c r="B24" i="3"/>
  <c r="B25" i="3"/>
  <c r="B26" i="3"/>
  <c r="B11" i="3"/>
  <c r="AL25" i="5" a="1"/>
  <c r="AI26" i="5" a="1"/>
  <c r="AI25" i="5" a="1"/>
  <c r="AL26" i="5" a="1"/>
  <c r="AB25" i="5" a="1"/>
  <c r="AB26" i="5" a="1"/>
  <c r="R26" i="5" a="1"/>
  <c r="R25" i="5" a="1"/>
  <c r="Y26" i="5" a="1"/>
  <c r="Y25" i="5" a="1"/>
  <c r="AF25" i="4" a="1"/>
  <c r="AF26" i="4" a="1"/>
  <c r="W26" i="4" a="1"/>
  <c r="W25" i="4" a="1"/>
  <c r="Q26" i="4" a="1"/>
  <c r="Q25" i="4" a="1"/>
  <c r="N26" i="4" a="1"/>
  <c r="N25" i="4" a="1"/>
  <c r="O26" i="5" a="1"/>
  <c r="O25" i="5" a="1"/>
  <c r="AQ26" i="4" l="1"/>
  <c r="AU26" i="4"/>
  <c r="AV26" i="4" s="1"/>
  <c r="AW26" i="4" s="1"/>
  <c r="AT26" i="4"/>
  <c r="AQ25" i="4"/>
  <c r="AU25" i="4"/>
  <c r="AV25" i="4" s="1"/>
  <c r="AW25" i="4" s="1"/>
  <c r="CX25" i="5"/>
  <c r="CX26" i="5"/>
  <c r="CD25" i="5"/>
  <c r="CD26" i="5"/>
  <c r="BJ25" i="5"/>
  <c r="BJ26" i="5"/>
  <c r="AP25" i="5"/>
  <c r="AP26" i="5"/>
  <c r="AL26" i="5"/>
  <c r="AI25" i="5"/>
  <c r="AJ25" i="5" s="1"/>
  <c r="AK25" i="5" s="1"/>
  <c r="AI26" i="5"/>
  <c r="AJ26" i="5" s="1"/>
  <c r="AK26" i="5" s="1"/>
  <c r="AL25" i="5"/>
  <c r="AN25" i="5"/>
  <c r="AN26" i="5"/>
  <c r="AB26" i="5"/>
  <c r="AB25" i="5"/>
  <c r="R26" i="5"/>
  <c r="R25" i="5"/>
  <c r="Y25" i="5"/>
  <c r="Z25" i="5" s="1"/>
  <c r="Y26" i="5"/>
  <c r="Z26" i="5" s="1"/>
  <c r="AF26" i="4"/>
  <c r="AG26" i="4" s="1"/>
  <c r="AF25" i="4"/>
  <c r="AG25" i="4" s="1"/>
  <c r="W25" i="4"/>
  <c r="X25" i="4" s="1"/>
  <c r="W26" i="4"/>
  <c r="X26" i="4" s="1"/>
  <c r="Q26" i="4"/>
  <c r="Q25" i="4"/>
  <c r="N26" i="4"/>
  <c r="N25" i="4"/>
  <c r="O25" i="4" s="1"/>
  <c r="W25" i="5"/>
  <c r="X25" i="5"/>
  <c r="X26" i="5"/>
  <c r="O26" i="5"/>
  <c r="O25" i="5"/>
  <c r="L26" i="5"/>
  <c r="M26" i="5" s="1"/>
  <c r="L26" i="4"/>
  <c r="M26" i="4" s="1"/>
  <c r="G37" i="4"/>
  <c r="F45" i="4"/>
  <c r="G40" i="4"/>
  <c r="G48" i="4"/>
  <c r="G42" i="4"/>
  <c r="G50" i="4"/>
  <c r="G43" i="4"/>
  <c r="F51" i="4"/>
  <c r="F44" i="4"/>
  <c r="F52" i="4"/>
  <c r="G37" i="5"/>
  <c r="F41" i="5"/>
  <c r="G49" i="5"/>
  <c r="H31" i="5"/>
  <c r="H24" i="5"/>
  <c r="G41" i="5"/>
  <c r="F37" i="5"/>
  <c r="F49" i="5"/>
  <c r="G42" i="5"/>
  <c r="F42" i="5"/>
  <c r="G51" i="5"/>
  <c r="F51" i="5"/>
  <c r="H18" i="5"/>
  <c r="G44" i="5"/>
  <c r="F44" i="5"/>
  <c r="H27" i="5"/>
  <c r="G46" i="5"/>
  <c r="F46" i="5"/>
  <c r="G40" i="5"/>
  <c r="F40" i="5"/>
  <c r="H21" i="5"/>
  <c r="G48" i="5"/>
  <c r="F48" i="5"/>
  <c r="H29" i="5"/>
  <c r="H22" i="5"/>
  <c r="H23" i="5"/>
  <c r="H26" i="5"/>
  <c r="G50" i="5"/>
  <c r="F50" i="5"/>
  <c r="H32" i="5"/>
  <c r="F45" i="5"/>
  <c r="G47" i="5"/>
  <c r="F47" i="5"/>
  <c r="H28" i="5"/>
  <c r="G39" i="5"/>
  <c r="H20" i="5"/>
  <c r="F39" i="5"/>
  <c r="H30" i="5"/>
  <c r="H19" i="5"/>
  <c r="G38" i="5"/>
  <c r="F38" i="5"/>
  <c r="G43" i="5"/>
  <c r="F43" i="5"/>
  <c r="H25" i="5"/>
  <c r="G52" i="5"/>
  <c r="H33" i="5"/>
  <c r="F52" i="5"/>
  <c r="G45" i="5"/>
  <c r="H25" i="4"/>
  <c r="L25" i="4"/>
  <c r="M25" i="4" s="1"/>
  <c r="H19" i="4"/>
  <c r="H27" i="4"/>
  <c r="H24" i="4"/>
  <c r="H33" i="4"/>
  <c r="H18" i="4"/>
  <c r="H28" i="4"/>
  <c r="H20" i="4"/>
  <c r="H32" i="4"/>
  <c r="H26" i="4"/>
  <c r="H21" i="4"/>
  <c r="H29" i="4"/>
  <c r="H31" i="4"/>
  <c r="H30" i="4"/>
  <c r="H22" i="4"/>
  <c r="H23" i="4"/>
  <c r="D22" i="3"/>
  <c r="F22" i="3" s="1"/>
  <c r="G22" i="3" s="1"/>
  <c r="H22" i="3" s="1"/>
  <c r="D26" i="3"/>
  <c r="F26" i="3" s="1"/>
  <c r="G26" i="3" s="1"/>
  <c r="H26" i="3" s="1"/>
  <c r="G19" i="3"/>
  <c r="H19" i="3" s="1"/>
  <c r="I19" i="3" s="1"/>
  <c r="D21" i="3"/>
  <c r="F21" i="3" s="1"/>
  <c r="G21" i="3" s="1"/>
  <c r="H21" i="3" s="1"/>
  <c r="D12" i="3"/>
  <c r="F12" i="3" s="1"/>
  <c r="G12" i="3" s="1"/>
  <c r="H12" i="3" s="1"/>
  <c r="D20" i="3"/>
  <c r="F20" i="3" s="1"/>
  <c r="D11" i="3"/>
  <c r="F11" i="3" s="1"/>
  <c r="D17" i="3"/>
  <c r="F17" i="3" s="1"/>
  <c r="D18" i="3"/>
  <c r="F18" i="3" s="1"/>
  <c r="D25" i="3"/>
  <c r="F25" i="3" s="1"/>
  <c r="D16" i="3"/>
  <c r="F16" i="3" s="1"/>
  <c r="D24" i="3"/>
  <c r="F24" i="3" s="1"/>
  <c r="D15" i="3"/>
  <c r="F15" i="3" s="1"/>
  <c r="D23" i="3"/>
  <c r="F23" i="3" s="1"/>
  <c r="D14" i="3"/>
  <c r="F14" i="3" s="1"/>
  <c r="D13" i="3"/>
  <c r="F13" i="3" s="1"/>
  <c r="AX25" i="4" a="1"/>
  <c r="BA25" i="4" a="1"/>
  <c r="AX26" i="4" a="1"/>
  <c r="BA26" i="4" a="1"/>
  <c r="BA26" i="4" l="1"/>
  <c r="BB26" i="4" s="1"/>
  <c r="AX26" i="4"/>
  <c r="AY26" i="4" s="1"/>
  <c r="AZ26" i="4" s="1"/>
  <c r="BA25" i="4"/>
  <c r="BB25" i="4" s="1"/>
  <c r="AX25" i="4"/>
  <c r="AY25" i="4" s="1"/>
  <c r="AZ25" i="4" s="1"/>
  <c r="BC25" i="4"/>
  <c r="CY25" i="5"/>
  <c r="CZ25" i="5"/>
  <c r="CY26" i="5"/>
  <c r="CZ26" i="5"/>
  <c r="CF26" i="5"/>
  <c r="CE26" i="5"/>
  <c r="CF25" i="5"/>
  <c r="CE25" i="5"/>
  <c r="BK26" i="5"/>
  <c r="BL26" i="5"/>
  <c r="BK25" i="5"/>
  <c r="BL25" i="5"/>
  <c r="AQ26" i="5"/>
  <c r="AR26" i="5"/>
  <c r="AR25" i="5"/>
  <c r="AQ25" i="5"/>
  <c r="AA26" i="5"/>
  <c r="AA25" i="5"/>
  <c r="N26" i="5"/>
  <c r="P26" i="5" s="1"/>
  <c r="O26" i="4"/>
  <c r="L25" i="5"/>
  <c r="P25" i="4"/>
  <c r="I22" i="3"/>
  <c r="I26" i="3"/>
  <c r="I12" i="3"/>
  <c r="I21" i="3"/>
  <c r="G16" i="3"/>
  <c r="H16" i="3" s="1"/>
  <c r="I16" i="3" s="1"/>
  <c r="G20" i="3"/>
  <c r="H20" i="3" s="1"/>
  <c r="I20" i="3" s="1"/>
  <c r="G13" i="3"/>
  <c r="H13" i="3" s="1"/>
  <c r="I13" i="3" s="1"/>
  <c r="G11" i="3"/>
  <c r="H11" i="3" s="1"/>
  <c r="I11" i="3" s="1"/>
  <c r="G14" i="3"/>
  <c r="H14" i="3" s="1"/>
  <c r="I14" i="3" s="1"/>
  <c r="G24" i="3"/>
  <c r="H24" i="3" s="1"/>
  <c r="I24" i="3" s="1"/>
  <c r="G25" i="3"/>
  <c r="H25" i="3" s="1"/>
  <c r="I25" i="3" s="1"/>
  <c r="G18" i="3"/>
  <c r="H18" i="3" s="1"/>
  <c r="I18" i="3" s="1"/>
  <c r="G23" i="3"/>
  <c r="H23" i="3" s="1"/>
  <c r="I23" i="3" s="1"/>
  <c r="G15" i="3"/>
  <c r="H15" i="3" s="1"/>
  <c r="I15" i="3" s="1"/>
  <c r="G17" i="3"/>
  <c r="H17" i="3" s="1"/>
  <c r="I17" i="3" s="1"/>
  <c r="DD26" i="5" a="1"/>
  <c r="DA26" i="5" a="1"/>
  <c r="DD25" i="5" a="1"/>
  <c r="DA25" i="5" a="1"/>
  <c r="CJ26" i="5" a="1"/>
  <c r="CG26" i="5" a="1"/>
  <c r="CG25" i="5" a="1"/>
  <c r="CJ25" i="5" a="1"/>
  <c r="BP26" i="5" a="1"/>
  <c r="BM26" i="5" a="1"/>
  <c r="BP25" i="5" a="1"/>
  <c r="BM25" i="5" a="1"/>
  <c r="AV26" i="5" a="1"/>
  <c r="AS26" i="5" a="1"/>
  <c r="AV25" i="5" a="1"/>
  <c r="AS25" i="5" a="1"/>
  <c r="BC26" i="4" l="1"/>
  <c r="DA25" i="5"/>
  <c r="DB25" i="5" s="1"/>
  <c r="DC25" i="5" s="1"/>
  <c r="DD25" i="5"/>
  <c r="DA26" i="5"/>
  <c r="DB26" i="5" s="1"/>
  <c r="DC26" i="5" s="1"/>
  <c r="DD26" i="5"/>
  <c r="CJ25" i="5"/>
  <c r="CG25" i="5"/>
  <c r="CH25" i="5" s="1"/>
  <c r="CI25" i="5" s="1"/>
  <c r="CG26" i="5"/>
  <c r="CH26" i="5" s="1"/>
  <c r="CI26" i="5" s="1"/>
  <c r="CJ26" i="5"/>
  <c r="CM26" i="5"/>
  <c r="CN26" i="5" s="1"/>
  <c r="CM25" i="5"/>
  <c r="CN25" i="5" s="1"/>
  <c r="CL25" i="5"/>
  <c r="CL26" i="5"/>
  <c r="BM25" i="5"/>
  <c r="BN25" i="5" s="1"/>
  <c r="BO25" i="5" s="1"/>
  <c r="BP25" i="5"/>
  <c r="BM26" i="5"/>
  <c r="BN26" i="5" s="1"/>
  <c r="BO26" i="5" s="1"/>
  <c r="BP26" i="5"/>
  <c r="AS25" i="5"/>
  <c r="AT25" i="5" s="1"/>
  <c r="AU25" i="5" s="1"/>
  <c r="AV25" i="5"/>
  <c r="AS26" i="5"/>
  <c r="AT26" i="5" s="1"/>
  <c r="AU26" i="5" s="1"/>
  <c r="AV26" i="5"/>
  <c r="AX25" i="5"/>
  <c r="AY25" i="5"/>
  <c r="AZ25" i="5" s="1"/>
  <c r="AX26" i="5"/>
  <c r="AD26" i="5"/>
  <c r="AD25" i="5"/>
  <c r="Q26" i="5"/>
  <c r="S26" i="4"/>
  <c r="P26" i="4"/>
  <c r="T26" i="4"/>
  <c r="S25" i="4"/>
  <c r="M25" i="5"/>
  <c r="T25" i="4"/>
  <c r="U25" i="4" s="1"/>
  <c r="V25" i="4" s="1"/>
  <c r="DG25" i="5" l="1"/>
  <c r="DH25" i="5" s="1"/>
  <c r="DF26" i="5"/>
  <c r="DG26" i="5"/>
  <c r="DH26" i="5" s="1"/>
  <c r="DF25" i="5"/>
  <c r="CP26" i="5"/>
  <c r="CO26" i="5"/>
  <c r="CP25" i="5"/>
  <c r="CO25" i="5"/>
  <c r="BR25" i="5"/>
  <c r="BR26" i="5"/>
  <c r="BS26" i="5"/>
  <c r="BT26" i="5" s="1"/>
  <c r="BS25" i="5"/>
  <c r="BT25" i="5" s="1"/>
  <c r="BB25" i="5"/>
  <c r="BA25" i="5"/>
  <c r="AY26" i="5"/>
  <c r="AZ26" i="5" s="1"/>
  <c r="T26" i="5"/>
  <c r="U26" i="4"/>
  <c r="V26" i="4" s="1"/>
  <c r="P25" i="5"/>
  <c r="CQ25" i="5" a="1"/>
  <c r="CT25" i="5" a="1"/>
  <c r="CQ26" i="5" a="1"/>
  <c r="CT26" i="5" a="1"/>
  <c r="BC25" i="5" a="1"/>
  <c r="BF25" i="5" a="1"/>
  <c r="DJ26" i="5" l="1"/>
  <c r="DI26" i="5"/>
  <c r="DJ25" i="5"/>
  <c r="DI25" i="5"/>
  <c r="CT26" i="5"/>
  <c r="CQ26" i="5"/>
  <c r="CR26" i="5" s="1"/>
  <c r="CS26" i="5" s="1"/>
  <c r="CT25" i="5"/>
  <c r="CQ25" i="5"/>
  <c r="CR25" i="5" s="1"/>
  <c r="CS25" i="5" s="1"/>
  <c r="BU25" i="5"/>
  <c r="BV25" i="5"/>
  <c r="BU26" i="5"/>
  <c r="BV26" i="5"/>
  <c r="BF25" i="5"/>
  <c r="BC25" i="5"/>
  <c r="BD25" i="5" s="1"/>
  <c r="BE25" i="5" s="1"/>
  <c r="BH25" i="5"/>
  <c r="BB26" i="5"/>
  <c r="BA26" i="5"/>
  <c r="Q25" i="5"/>
  <c r="T25" i="5"/>
  <c r="Y25" i="4"/>
  <c r="AC25" i="4"/>
  <c r="AD25" i="4" s="1"/>
  <c r="AE25" i="4" s="1"/>
  <c r="AB25" i="4"/>
  <c r="DK26" i="5" a="1"/>
  <c r="DN26" i="5" a="1"/>
  <c r="DK25" i="5" a="1"/>
  <c r="DN25" i="5" a="1"/>
  <c r="BW26" i="5" a="1"/>
  <c r="BZ26" i="5" a="1"/>
  <c r="BW25" i="5" a="1"/>
  <c r="BZ25" i="5" a="1"/>
  <c r="BC26" i="5" a="1"/>
  <c r="BF26" i="5" a="1"/>
  <c r="AI25" i="4" a="1"/>
  <c r="DN25" i="5" l="1"/>
  <c r="DK25" i="5"/>
  <c r="DL25" i="5" s="1"/>
  <c r="DM25" i="5" s="1"/>
  <c r="DN26" i="5"/>
  <c r="DK26" i="5"/>
  <c r="DL26" i="5" s="1"/>
  <c r="DM26" i="5" s="1"/>
  <c r="CV26" i="5"/>
  <c r="CV25" i="5"/>
  <c r="BZ25" i="5"/>
  <c r="BW25" i="5"/>
  <c r="BX25" i="5" s="1"/>
  <c r="BY25" i="5" s="1"/>
  <c r="BZ26" i="5"/>
  <c r="BW26" i="5"/>
  <c r="BX26" i="5" s="1"/>
  <c r="BY26" i="5" s="1"/>
  <c r="BF26" i="5"/>
  <c r="BC26" i="5"/>
  <c r="BD26" i="5" s="1"/>
  <c r="BE26" i="5" s="1"/>
  <c r="BH26" i="5"/>
  <c r="AI25" i="4"/>
  <c r="AH25" i="4"/>
  <c r="AE26" i="5"/>
  <c r="AB26" i="4"/>
  <c r="Y26" i="4"/>
  <c r="AC26" i="4"/>
  <c r="DP26" i="5" l="1"/>
  <c r="DP25" i="5"/>
  <c r="CB26" i="5"/>
  <c r="CB25" i="5"/>
  <c r="AF26" i="5"/>
  <c r="AD26" i="4"/>
  <c r="AE26" i="4" s="1"/>
  <c r="AK25" i="4"/>
  <c r="AI26" i="4" a="1"/>
  <c r="AI26" i="4" l="1"/>
  <c r="AG26" i="5"/>
  <c r="AK26" i="4" l="1"/>
  <c r="AE25" i="5"/>
  <c r="AH26" i="4"/>
  <c r="AF25" i="5" l="1"/>
  <c r="AG25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<sst xmlns="http://schemas.openxmlformats.org/spreadsheetml/2006/main" count="251" uniqueCount="54">
  <si>
    <t>U2 = 150</t>
  </si>
  <si>
    <t>V</t>
  </si>
  <si>
    <t>C</t>
  </si>
  <si>
    <t>U2 = 100</t>
  </si>
  <si>
    <t>Eff</t>
  </si>
  <si>
    <t>NS</t>
  </si>
  <si>
    <t>84 " pump at 345</t>
  </si>
  <si>
    <t>OD</t>
  </si>
  <si>
    <t>ED</t>
  </si>
  <si>
    <t>N</t>
  </si>
  <si>
    <t>U2</t>
  </si>
  <si>
    <t>v</t>
  </si>
  <si>
    <t>C150</t>
  </si>
  <si>
    <t>C100</t>
  </si>
  <si>
    <t>H</t>
  </si>
  <si>
    <t>DD</t>
  </si>
  <si>
    <t>Q</t>
  </si>
  <si>
    <t>Power</t>
  </si>
  <si>
    <t>OD/ED</t>
  </si>
  <si>
    <t>P</t>
  </si>
  <si>
    <t>Driver P</t>
  </si>
  <si>
    <t>Design Density</t>
  </si>
  <si>
    <t>Pavail</t>
  </si>
  <si>
    <t>1st try</t>
  </si>
  <si>
    <t>Gravity</t>
  </si>
  <si>
    <t>Q GPM</t>
  </si>
  <si>
    <t>H Ft</t>
  </si>
  <si>
    <t>P HP</t>
  </si>
  <si>
    <t>Q m3/sec</t>
  </si>
  <si>
    <t>H m</t>
  </si>
  <si>
    <t>P kW</t>
  </si>
  <si>
    <t>HP =</t>
  </si>
  <si>
    <t>RPM =</t>
  </si>
  <si>
    <t>Hz</t>
  </si>
  <si>
    <t>ft/sec2 =</t>
  </si>
  <si>
    <t>m/sec2</t>
  </si>
  <si>
    <t>2nd try</t>
  </si>
  <si>
    <t>H''</t>
  </si>
  <si>
    <t>4th</t>
  </si>
  <si>
    <t>n_new</t>
  </si>
  <si>
    <t>Q0</t>
  </si>
  <si>
    <t>speed_ratio</t>
  </si>
  <si>
    <t>P0</t>
  </si>
  <si>
    <t>dP</t>
  </si>
  <si>
    <t>3rd Try</t>
  </si>
  <si>
    <t xml:space="preserve">In = </t>
  </si>
  <si>
    <t>H0</t>
  </si>
  <si>
    <t>5th</t>
  </si>
  <si>
    <t>6th</t>
  </si>
  <si>
    <t>7th</t>
  </si>
  <si>
    <t>8th</t>
  </si>
  <si>
    <t>9th</t>
  </si>
  <si>
    <t>Rhom</t>
  </si>
  <si>
    <t>t/m3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</si>
</sst>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%"/>
    <numFmt numFmtId="166" formatCode="0.00000"/>
    <numFmt numFmtId="167" formatCode="0.0000"/>
    <numFmt numFmtId="168" formatCode="0.000"/>
    <numFmt numFmtId="169" formatCode="0.000000"/>
    <numFmt numFmtId="173" formatCode="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2" fillId="0" borderId="0" xfId="0" applyFont="1"/>
    <xf numFmtId="9" fontId="0" fillId="0" borderId="0" xfId="1" applyFont="1"/>
    <xf numFmtId="164" fontId="0" fillId="0" borderId="0" xfId="1" applyNumberFormat="1" applyFont="1"/>
    <xf numFmtId="0" fontId="0" fillId="2" borderId="0" xfId="0" applyFill="1"/>
    <xf numFmtId="164" fontId="0" fillId="2" borderId="0" xfId="1" applyNumberFormat="1" applyFont="1" applyFill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2" fontId="0" fillId="0" borderId="0" xfId="0" applyNumberFormat="1"/>
    <xf numFmtId="167" fontId="0" fillId="0" borderId="0" xfId="0" applyNumberFormat="1" applyFill="1"/>
    <xf numFmtId="169" fontId="0" fillId="0" borderId="0" xfId="0" applyNumberFormat="1"/>
    <xf numFmtId="167" fontId="0" fillId="2" borderId="0" xfId="0" applyNumberFormat="1" applyFill="1"/>
    <xf numFmtId="166" fontId="0" fillId="2" borderId="0" xfId="0" applyNumberFormat="1" applyFill="1"/>
    <xf numFmtId="2" fontId="0" fillId="2" borderId="0" xfId="0" applyNumberFormat="1" applyFill="1"/>
    <xf numFmtId="169" fontId="0" fillId="2" borderId="0" xfId="0" applyNumberFormat="1" applyFill="1"/>
    <xf numFmtId="168" fontId="0" fillId="2" borderId="0" xfId="0" applyNumberFormat="1" applyFill="1"/>
    <xf numFmtId="173" fontId="0" fillId="0" borderId="0" xfId="0" applyNumberFormat="1"/>
    <xf numFmtId="169" fontId="0" fillId="0" borderId="0" xfId="0" applyNumberFormat="1" applyFill="1"/>
    <xf numFmtId="167" fontId="2" fillId="0" borderId="0" xfId="0" applyNumberFormat="1" applyFont="1"/>
    <xf numFmtId="166" fontId="2" fillId="0" borderId="0" xfId="0" applyNumberFormat="1" applyFont="1"/>
    <xf numFmtId="167" fontId="2" fillId="0" borderId="0" xfId="0" applyNumberFormat="1" applyFont="1" applyFill="1"/>
    <xf numFmtId="2" fontId="2" fillId="0" borderId="0" xfId="0" applyNumberFormat="1" applyFont="1"/>
    <xf numFmtId="169" fontId="2" fillId="0" borderId="0" xfId="0" applyNumberFormat="1" applyFont="1" applyFill="1"/>
    <xf numFmtId="164" fontId="2" fillId="0" borderId="0" xfId="1" applyNumberFormat="1" applyFont="1"/>
    <xf numFmtId="167" fontId="2" fillId="2" borderId="0" xfId="0" applyNumberFormat="1" applyFont="1" applyFill="1"/>
    <xf numFmtId="166" fontId="2" fillId="2" borderId="0" xfId="0" applyNumberFormat="1" applyFont="1" applyFill="1"/>
    <xf numFmtId="2" fontId="2" fillId="2" borderId="0" xfId="0" applyNumberFormat="1" applyFont="1" applyFill="1"/>
    <xf numFmtId="169" fontId="2" fillId="2" borderId="0" xfId="0" applyNumberFormat="1" applyFont="1" applyFill="1"/>
    <xf numFmtId="168" fontId="2" fillId="2" borderId="0" xfId="0" applyNumberFormat="1" applyFont="1" applyFill="1"/>
    <xf numFmtId="164" fontId="2" fillId="2" borderId="0" xfId="1" applyNumberFormat="1" applyFont="1" applyFill="1"/>
    <xf numFmtId="168" fontId="2" fillId="0" borderId="0" xfId="0" applyNumberFormat="1" applyFont="1"/>
  </cellXfs>
  <cellStyles count="2">
    <cellStyle name="Normal" xfId="0" builtinId="0"/>
    <cellStyle name="Percent" xfId="1" builtinId="5"/>
  </cellStyles>
  <dxfs count="226"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'V-C'!$A$1</c:f>
              <c:strCache>
                <c:ptCount val="1"/>
                <c:pt idx="0">
                  <c:v>U2 = 150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15565398075240594"/>
                  <c:y val="0.3384131671041120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0070C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'V-C'!$A$3:$A$16</c:f>
              <c:numCache>
                <c:formatCode>General</c:formatCode>
                <c:ptCount val="14"/>
                <c:pt idx="0">
                  <c:v>4.75</c:v>
                </c:pt>
                <c:pt idx="1">
                  <c:v>9.5</c:v>
                </c:pt>
                <c:pt idx="2">
                  <c:v>14.1</c:v>
                </c:pt>
                <c:pt idx="3">
                  <c:v>17.25</c:v>
                </c:pt>
                <c:pt idx="4">
                  <c:v>19.75</c:v>
                </c:pt>
                <c:pt idx="5">
                  <c:v>22.25</c:v>
                </c:pt>
                <c:pt idx="6">
                  <c:v>24.25</c:v>
                </c:pt>
                <c:pt idx="7">
                  <c:v>26.25</c:v>
                </c:pt>
                <c:pt idx="8">
                  <c:v>28</c:v>
                </c:pt>
                <c:pt idx="9">
                  <c:v>30</c:v>
                </c:pt>
                <c:pt idx="10">
                  <c:v>31.5</c:v>
                </c:pt>
                <c:pt idx="11">
                  <c:v>32.75</c:v>
                </c:pt>
                <c:pt idx="12">
                  <c:v>33.85</c:v>
                </c:pt>
                <c:pt idx="13">
                  <c:v>35.1</c:v>
                </c:pt>
              </c:numCache>
            </c:numRef>
          </c:xVal>
          <c:yVal>
            <c:numRef>
              <c:f>'V-C'!$B$3:$B$16</c:f>
              <c:numCache>
                <c:formatCode>General</c:formatCode>
                <c:ptCount val="14"/>
                <c:pt idx="0">
                  <c:v>1575</c:v>
                </c:pt>
                <c:pt idx="1">
                  <c:v>1585</c:v>
                </c:pt>
                <c:pt idx="2">
                  <c:v>1595</c:v>
                </c:pt>
                <c:pt idx="3">
                  <c:v>1605</c:v>
                </c:pt>
                <c:pt idx="4">
                  <c:v>1615</c:v>
                </c:pt>
                <c:pt idx="5">
                  <c:v>1625</c:v>
                </c:pt>
                <c:pt idx="6">
                  <c:v>1635</c:v>
                </c:pt>
                <c:pt idx="7">
                  <c:v>1645</c:v>
                </c:pt>
                <c:pt idx="8">
                  <c:v>1655</c:v>
                </c:pt>
                <c:pt idx="9">
                  <c:v>1665</c:v>
                </c:pt>
                <c:pt idx="10">
                  <c:v>1675</c:v>
                </c:pt>
                <c:pt idx="11">
                  <c:v>1685</c:v>
                </c:pt>
                <c:pt idx="12">
                  <c:v>1695</c:v>
                </c:pt>
                <c:pt idx="13">
                  <c:v>1705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8-44BB-8BA2-9F746098E7FE}"/>
            </c:ext>
          </c:extLst>
        </c:ser>
        <c:ser>
          <c:idx val="1"/>
          <c:order val="1"/>
          <c:tx>
            <c:strRef>
              <c:f>'V-C'!$A$19</c:f>
              <c:strCache>
                <c:ptCount val="1"/>
                <c:pt idx="0">
                  <c:v>U2 = 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0.12200131233595801"/>
                  <c:y val="-4.6296296296296294E-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'V-C'!$A$21:$A$46</c:f>
              <c:numCache>
                <c:formatCode>General</c:formatCode>
                <c:ptCount val="26"/>
                <c:pt idx="0">
                  <c:v>3.2</c:v>
                </c:pt>
                <c:pt idx="1">
                  <c:v>6.3</c:v>
                </c:pt>
                <c:pt idx="2">
                  <c:v>9.5</c:v>
                </c:pt>
                <c:pt idx="3">
                  <c:v>11.5</c:v>
                </c:pt>
                <c:pt idx="4">
                  <c:v>13.2</c:v>
                </c:pt>
                <c:pt idx="5">
                  <c:v>14.75</c:v>
                </c:pt>
                <c:pt idx="6">
                  <c:v>16.25</c:v>
                </c:pt>
                <c:pt idx="7">
                  <c:v>17.5</c:v>
                </c:pt>
                <c:pt idx="8">
                  <c:v>18.75</c:v>
                </c:pt>
                <c:pt idx="9">
                  <c:v>20</c:v>
                </c:pt>
                <c:pt idx="10">
                  <c:v>20.95</c:v>
                </c:pt>
                <c:pt idx="11">
                  <c:v>21.8</c:v>
                </c:pt>
                <c:pt idx="12">
                  <c:v>22.75</c:v>
                </c:pt>
                <c:pt idx="13">
                  <c:v>23.5</c:v>
                </c:pt>
                <c:pt idx="14">
                  <c:v>23.95</c:v>
                </c:pt>
                <c:pt idx="15">
                  <c:v>24.75</c:v>
                </c:pt>
                <c:pt idx="16">
                  <c:v>25.5</c:v>
                </c:pt>
                <c:pt idx="17">
                  <c:v>26.1</c:v>
                </c:pt>
                <c:pt idx="18">
                  <c:v>27.05</c:v>
                </c:pt>
                <c:pt idx="19">
                  <c:v>27.75</c:v>
                </c:pt>
                <c:pt idx="20">
                  <c:v>28.8</c:v>
                </c:pt>
                <c:pt idx="21">
                  <c:v>29.75</c:v>
                </c:pt>
                <c:pt idx="22">
                  <c:v>30.75</c:v>
                </c:pt>
                <c:pt idx="23">
                  <c:v>31.6</c:v>
                </c:pt>
                <c:pt idx="24">
                  <c:v>32.700000000000003</c:v>
                </c:pt>
                <c:pt idx="25">
                  <c:v>33.5</c:v>
                </c:pt>
              </c:numCache>
            </c:numRef>
          </c:xVal>
          <c:yVal>
            <c:numRef>
              <c:f>'V-C'!$B$21:$B$46</c:f>
              <c:numCache>
                <c:formatCode>General</c:formatCode>
                <c:ptCount val="26"/>
                <c:pt idx="0">
                  <c:v>1575</c:v>
                </c:pt>
                <c:pt idx="1">
                  <c:v>1585</c:v>
                </c:pt>
                <c:pt idx="2">
                  <c:v>1595</c:v>
                </c:pt>
                <c:pt idx="3">
                  <c:v>1605</c:v>
                </c:pt>
                <c:pt idx="4">
                  <c:v>1615</c:v>
                </c:pt>
                <c:pt idx="5">
                  <c:v>1625</c:v>
                </c:pt>
                <c:pt idx="6">
                  <c:v>1635</c:v>
                </c:pt>
                <c:pt idx="7">
                  <c:v>1645</c:v>
                </c:pt>
                <c:pt idx="8">
                  <c:v>1655</c:v>
                </c:pt>
                <c:pt idx="9">
                  <c:v>1665</c:v>
                </c:pt>
                <c:pt idx="10">
                  <c:v>1675</c:v>
                </c:pt>
                <c:pt idx="11">
                  <c:v>1685</c:v>
                </c:pt>
                <c:pt idx="12">
                  <c:v>1695</c:v>
                </c:pt>
                <c:pt idx="13">
                  <c:v>1705</c:v>
                </c:pt>
                <c:pt idx="14">
                  <c:v>1715</c:v>
                </c:pt>
                <c:pt idx="15">
                  <c:v>1725</c:v>
                </c:pt>
                <c:pt idx="16">
                  <c:v>1735</c:v>
                </c:pt>
                <c:pt idx="17">
                  <c:v>1745</c:v>
                </c:pt>
                <c:pt idx="18">
                  <c:v>1755</c:v>
                </c:pt>
                <c:pt idx="19">
                  <c:v>1765</c:v>
                </c:pt>
                <c:pt idx="20">
                  <c:v>1775</c:v>
                </c:pt>
                <c:pt idx="21">
                  <c:v>1785</c:v>
                </c:pt>
                <c:pt idx="22">
                  <c:v>1795</c:v>
                </c:pt>
                <c:pt idx="23">
                  <c:v>1805</c:v>
                </c:pt>
                <c:pt idx="24">
                  <c:v>1815</c:v>
                </c:pt>
                <c:pt idx="25">
                  <c:v>1825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98-44BB-8BA2-9F746098E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30959"/>
        <c:axId val="48345103"/>
      </c:scatterChart>
      <c:valAx>
        <c:axId val="4833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103"/>
        <c:crosses val="autoZero"/>
        <c:crossBetween val="midCat"/>
      </c:valAx>
      <c:valAx>
        <c:axId val="4834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'NS-Eff'!$B$2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forward val="600"/>
            <c:backward val="160"/>
            <c:dispRSqr val="1"/>
            <c:dispEq val="1"/>
            <c:trendlineLbl>
              <c:layout>
                <c:manualLayout>
                  <c:x val="7.4242344706911642E-2"/>
                  <c:y val="0.17751312335958006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'NS-Eff'!$A$3:$A$14</c:f>
              <c:numCache>
                <c:formatCode>General</c:formatCode>
                <c:ptCount val="12"/>
                <c:pt idx="0">
                  <c:v>160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1600</c:v>
                </c:pt>
                <c:pt idx="8">
                  <c:v>1800</c:v>
                </c:pt>
                <c:pt idx="9">
                  <c:v>2000</c:v>
                </c:pt>
                <c:pt idx="10">
                  <c:v>2200</c:v>
                </c:pt>
                <c:pt idx="11">
                  <c:v>2400</c:v>
                </c:pt>
              </c:numCache>
            </c:numRef>
          </c:xVal>
          <c:yVal>
            <c:numRef>
              <c:f>'NS-Eff'!$B$3:$B$14</c:f>
              <c:numCache>
                <c:formatCode>General</c:formatCode>
                <c:ptCount val="12"/>
                <c:pt idx="0">
                  <c:v>16</c:v>
                </c:pt>
                <c:pt idx="1">
                  <c:v>35</c:v>
                </c:pt>
                <c:pt idx="2">
                  <c:v>53</c:v>
                </c:pt>
                <c:pt idx="3">
                  <c:v>64</c:v>
                </c:pt>
                <c:pt idx="4">
                  <c:v>72</c:v>
                </c:pt>
                <c:pt idx="5">
                  <c:v>77</c:v>
                </c:pt>
                <c:pt idx="6">
                  <c:v>78</c:v>
                </c:pt>
                <c:pt idx="7">
                  <c:v>78</c:v>
                </c:pt>
                <c:pt idx="8">
                  <c:v>76</c:v>
                </c:pt>
                <c:pt idx="9">
                  <c:v>73</c:v>
                </c:pt>
                <c:pt idx="10">
                  <c:v>68</c:v>
                </c:pt>
                <c:pt idx="11">
                  <c:v>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0B-4A2E-B5D9-C2714E4DC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10415"/>
        <c:axId val="48410831"/>
      </c:scatterChart>
      <c:valAx>
        <c:axId val="48410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831"/>
        <c:crosses val="autoZero"/>
        <c:crossBetween val="midCat"/>
      </c:valAx>
      <c:valAx>
        <c:axId val="4841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Example!$E$11:$E$26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Example!$F$11:$F$26</c:f>
              <c:numCache>
                <c:formatCode>General</c:formatCode>
                <c:ptCount val="16"/>
                <c:pt idx="0">
                  <c:v>98.730342840799736</c:v>
                </c:pt>
                <c:pt idx="1">
                  <c:v>96.74978396989485</c:v>
                </c:pt>
                <c:pt idx="2">
                  <c:v>95.441800963551216</c:v>
                </c:pt>
                <c:pt idx="3">
                  <c:v>94.428852310217707</c:v>
                </c:pt>
                <c:pt idx="4">
                  <c:v>93.421816182173828</c:v>
                </c:pt>
                <c:pt idx="5">
                  <c:v>92.206627360701376</c:v>
                </c:pt>
                <c:pt idx="6">
                  <c:v>90.64182212007951</c:v>
                </c:pt>
                <c:pt idx="7">
                  <c:v>88.658673803197701</c:v>
                </c:pt>
                <c:pt idx="8">
                  <c:v>87.508076586879881</c:v>
                </c:pt>
                <c:pt idx="9">
                  <c:v>86.258489168210616</c:v>
                </c:pt>
                <c:pt idx="10">
                  <c:v>83.504460038706398</c:v>
                </c:pt>
                <c:pt idx="11">
                  <c:v>80.508271116626759</c:v>
                </c:pt>
                <c:pt idx="12">
                  <c:v>77.413873492080967</c:v>
                </c:pt>
                <c:pt idx="13">
                  <c:v>74.381899635597804</c:v>
                </c:pt>
                <c:pt idx="14">
                  <c:v>71.578055716013992</c:v>
                </c:pt>
                <c:pt idx="15">
                  <c:v>69.167952863679503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C2-4B66-906A-1EF3B348447D}"/>
            </c:ext>
          </c:extLst>
        </c:ser>
        <c:ser>
          <c:idx val="2"/>
          <c:order val="2"/>
          <c:tx>
            <c:v>Efficiency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Example!$E$11:$E$26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Example!$H$11:$H$26</c:f>
              <c:numCache>
                <c:formatCode>General</c:formatCode>
                <c:ptCount val="16"/>
                <c:pt idx="0">
                  <c:v>45.871731522060465</c:v>
                </c:pt>
                <c:pt idx="1">
                  <c:v>59.750521044530608</c:v>
                </c:pt>
                <c:pt idx="2">
                  <c:v>67.690936961494273</c:v>
                </c:pt>
                <c:pt idx="3">
                  <c:v>72.635271698221189</c:v>
                </c:pt>
                <c:pt idx="4">
                  <c:v>75.755799726433651</c:v>
                </c:pt>
                <c:pt idx="5">
                  <c:v>77.627328833773703</c:v>
                </c:pt>
                <c:pt idx="6">
                  <c:v>78.536273494886686</c:v>
                </c:pt>
                <c:pt idx="7">
                  <c:v>78.606085841573005</c:v>
                </c:pt>
                <c:pt idx="8">
                  <c:v>78.337758157509185</c:v>
                </c:pt>
                <c:pt idx="9">
                  <c:v>77.866133797047524</c:v>
                </c:pt>
                <c:pt idx="10">
                  <c:v>76.301288838864224</c:v>
                </c:pt>
                <c:pt idx="11">
                  <c:v>73.895775078389875</c:v>
                </c:pt>
                <c:pt idx="12">
                  <c:v>70.674937185271915</c:v>
                </c:pt>
                <c:pt idx="13">
                  <c:v>66.742151919141463</c:v>
                </c:pt>
                <c:pt idx="14">
                  <c:v>62.303437603238201</c:v>
                </c:pt>
                <c:pt idx="15">
                  <c:v>57.670613584789074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C2-4B66-906A-1EF3B348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tx>
            <c:v>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Example!$E$11:$E$26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Example!$I$11:$I$26</c:f>
              <c:numCache>
                <c:formatCode>General</c:formatCode>
                <c:ptCount val="16"/>
                <c:pt idx="0">
                  <c:v>307.34112834969784</c:v>
                </c:pt>
                <c:pt idx="1">
                  <c:v>462.43795592825569</c:v>
                </c:pt>
                <c:pt idx="2">
                  <c:v>604.01055093314972</c:v>
                </c:pt>
                <c:pt idx="3">
                  <c:v>742.56129297706877</c:v>
                </c:pt>
                <c:pt idx="4">
                  <c:v>880.47614327842837</c:v>
                </c:pt>
                <c:pt idx="5">
                  <c:v>1017.6862698846495</c:v>
                </c:pt>
                <c:pt idx="6">
                  <c:v>1153.6432968793174</c:v>
                </c:pt>
                <c:pt idx="7">
                  <c:v>1288.4578516752977</c:v>
                </c:pt>
                <c:pt idx="8">
                  <c:v>1355.8482817801487</c:v>
                </c:pt>
                <c:pt idx="9">
                  <c:v>1423.6751840090528</c:v>
                </c:pt>
                <c:pt idx="10">
                  <c:v>1562.762452931054</c:v>
                </c:pt>
                <c:pt idx="11">
                  <c:v>1711.310231586099</c:v>
                </c:pt>
                <c:pt idx="12">
                  <c:v>1876.9373791021383</c:v>
                </c:pt>
                <c:pt idx="13">
                  <c:v>2068.8337036938615</c:v>
                </c:pt>
                <c:pt idx="14">
                  <c:v>2296.7360834443562</c:v>
                </c:pt>
                <c:pt idx="15">
                  <c:v>2568.9566702822544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C2-4B66-906A-1EF3B348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Power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927993375828022"/>
                  <c:y val="0.40717410323709535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'Torque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'Torque Limited example'!$G$18:$G$33</c:f>
              <c:numCache>
                <c:formatCode>General</c:formatCode>
                <c:ptCount val="16"/>
                <c:pt idx="0">
                  <c:v>229.1842794103697</c:v>
                </c:pt>
                <c:pt idx="1">
                  <c:v>344.83998373570029</c:v>
                </c:pt>
                <c:pt idx="2">
                  <c:v>450.41066783084977</c:v>
                </c:pt>
                <c:pt idx="3">
                  <c:v>553.72795617300017</c:v>
                </c:pt>
                <c:pt idx="4">
                  <c:v>656.57106004272407</c:v>
                </c:pt>
                <c:pt idx="5">
                  <c:v>758.88865145298314</c:v>
                </c:pt>
                <c:pt idx="6">
                  <c:v>860.27180648290698</c:v>
                </c:pt>
                <c:pt idx="7">
                  <c:v>960.80301999426945</c:v>
                </c:pt>
                <c:pt idx="8">
                  <c:v>1011.0560637234569</c:v>
                </c:pt>
                <c:pt idx="9">
                  <c:v>1061.6345847155508</c:v>
                </c:pt>
                <c:pt idx="10">
                  <c:v>1165.351961150687</c:v>
                </c:pt>
                <c:pt idx="11">
                  <c:v>1276.1240396937542</c:v>
                </c:pt>
                <c:pt idx="12">
                  <c:v>1399.6322035964645</c:v>
                </c:pt>
                <c:pt idx="13">
                  <c:v>1542.7292928445127</c:v>
                </c:pt>
                <c:pt idx="14">
                  <c:v>1712.6760974244564</c:v>
                </c:pt>
                <c:pt idx="15">
                  <c:v>1915.6709890294771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81-4475-9EC0-9144E07EF551}"/>
            </c:ext>
          </c:extLst>
        </c:ser>
        <c:ser>
          <c:idx val="3"/>
          <c:order val="3"/>
          <c:tx>
            <c:v>test_power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'Torque Limited example'!$N$25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'Torque Limited example'!$O$25</c:f>
              <c:numCache>
                <c:formatCode>0.00</c:formatCode>
                <c:ptCount val="1"/>
                <c:pt idx="0">
                  <c:v>989.08671672989954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81-4475-9EC0-9144E07E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613088"/>
        <c:axId val="1181603104"/>
      </c:scatterChart>
      <c:scatterChart>
        <c:scatterStyle val="lineMarker"/>
        <c:varyColors val="0"/>
        <c:ser>
          <c:idx val="1"/>
          <c:order val="1"/>
          <c:tx>
            <c:v>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35704911886019"/>
                  <c:y val="-0.27352034120734908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'Torque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'Torque Limited example'!$F$18:$F$33</c:f>
              <c:numCache>
                <c:formatCode>General</c:formatCode>
                <c:ptCount val="16"/>
                <c:pt idx="0">
                  <c:v>30.093008497875761</c:v>
                </c:pt>
                <c:pt idx="1">
                  <c:v>29.48933415402395</c:v>
                </c:pt>
                <c:pt idx="2">
                  <c:v>29.090660933690412</c:v>
                </c:pt>
                <c:pt idx="3">
                  <c:v>28.78191418415436</c:v>
                </c:pt>
                <c:pt idx="4">
                  <c:v>28.474969572326586</c:v>
                </c:pt>
                <c:pt idx="5">
                  <c:v>28.104580019541782</c:v>
                </c:pt>
                <c:pt idx="6">
                  <c:v>27.627627382200235</c:v>
                </c:pt>
                <c:pt idx="7">
                  <c:v>27.023163775214659</c:v>
                </c:pt>
                <c:pt idx="8">
                  <c:v>26.672461743680987</c:v>
                </c:pt>
                <c:pt idx="9">
                  <c:v>26.291587498470598</c:v>
                </c:pt>
                <c:pt idx="10">
                  <c:v>25.452159419797713</c:v>
                </c:pt>
                <c:pt idx="11">
                  <c:v>24.538921036347837</c:v>
                </c:pt>
                <c:pt idx="12">
                  <c:v>23.59574864038628</c:v>
                </c:pt>
                <c:pt idx="13">
                  <c:v>22.671603008930212</c:v>
                </c:pt>
                <c:pt idx="14">
                  <c:v>21.816991382241067</c:v>
                </c:pt>
                <c:pt idx="15">
                  <c:v>21.082392032849512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81-4475-9EC0-9144E07EF551}"/>
            </c:ext>
          </c:extLst>
        </c:ser>
        <c:ser>
          <c:idx val="2"/>
          <c:order val="2"/>
          <c:tx>
            <c:v>test 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'Torque Limited example'!$N$25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'Torque Limited example'!$R$25</c:f>
              <c:numCache>
                <c:formatCode>0.00</c:formatCode>
                <c:ptCount val="1"/>
                <c:pt idx="0">
                  <c:v>26.825779713108453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81-4475-9EC0-9144E07E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24272"/>
        <c:axId val="1349300144"/>
      </c:scatterChart>
      <c:valAx>
        <c:axId val="118161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03104"/>
        <c:crosses val="autoZero"/>
        <c:crossBetween val="midCat"/>
      </c:valAx>
      <c:valAx>
        <c:axId val="11816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13088"/>
        <c:crosses val="autoZero"/>
        <c:crossBetween val="midCat"/>
      </c:valAx>
      <c:valAx>
        <c:axId val="134930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324272"/>
        <c:crosses val="max"/>
        <c:crossBetween val="midCat"/>
      </c:valAx>
      <c:valAx>
        <c:axId val="13493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30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Power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927993375828022"/>
                  <c:y val="0.40717410323709535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 formatCode="0.0000000000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'Power Limited example'!$G$18:$G$33</c:f>
              <c:numCache>
                <c:formatCode>General</c:formatCode>
                <c:ptCount val="16"/>
                <c:pt idx="0">
                  <c:v>229.1842794103697</c:v>
                </c:pt>
                <c:pt idx="1">
                  <c:v>344.83998373570029</c:v>
                </c:pt>
                <c:pt idx="2">
                  <c:v>450.41066783084977</c:v>
                </c:pt>
                <c:pt idx="3">
                  <c:v>553.72795617300017</c:v>
                </c:pt>
                <c:pt idx="4">
                  <c:v>656.57106004272407</c:v>
                </c:pt>
                <c:pt idx="5">
                  <c:v>758.88865145298314</c:v>
                </c:pt>
                <c:pt idx="6">
                  <c:v>860.27180648290698</c:v>
                </c:pt>
                <c:pt idx="7">
                  <c:v>960.80301999426945</c:v>
                </c:pt>
                <c:pt idx="8">
                  <c:v>1011.0560637234569</c:v>
                </c:pt>
                <c:pt idx="9">
                  <c:v>1061.6345847155508</c:v>
                </c:pt>
                <c:pt idx="10">
                  <c:v>1165.351961150687</c:v>
                </c:pt>
                <c:pt idx="11">
                  <c:v>1276.1240396937542</c:v>
                </c:pt>
                <c:pt idx="12">
                  <c:v>1399.6322035964645</c:v>
                </c:pt>
                <c:pt idx="13">
                  <c:v>1542.7292928445127</c:v>
                </c:pt>
                <c:pt idx="14">
                  <c:v>1712.6760974244564</c:v>
                </c:pt>
                <c:pt idx="15">
                  <c:v>1915.6709890294771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3-4AE1-A502-1EB3FCECCD18}"/>
            </c:ext>
          </c:extLst>
        </c:ser>
        <c:ser>
          <c:idx val="3"/>
          <c:order val="3"/>
          <c:tx>
            <c:v>test_power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'Power Limited example'!$M$25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'Power Limited example'!$N$25</c:f>
              <c:numCache>
                <c:formatCode>0.00</c:formatCode>
                <c:ptCount val="1"/>
                <c:pt idx="0">
                  <c:v>989.08671672989954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323-4AE1-A502-1EB3FCEC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613088"/>
        <c:axId val="1181603104"/>
      </c:scatterChart>
      <c:scatterChart>
        <c:scatterStyle val="lineMarker"/>
        <c:varyColors val="0"/>
        <c:ser>
          <c:idx val="1"/>
          <c:order val="1"/>
          <c:tx>
            <c:v>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35704911886019"/>
                  <c:y val="-0.27352034120734908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 formatCode="0.0000000000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'Power Limited example'!$F$18:$F$33</c:f>
              <c:numCache>
                <c:formatCode>General</c:formatCode>
                <c:ptCount val="16"/>
                <c:pt idx="0">
                  <c:v>30.093008497875761</c:v>
                </c:pt>
                <c:pt idx="1">
                  <c:v>29.48933415402395</c:v>
                </c:pt>
                <c:pt idx="2">
                  <c:v>29.090660933690412</c:v>
                </c:pt>
                <c:pt idx="3">
                  <c:v>28.78191418415436</c:v>
                </c:pt>
                <c:pt idx="4">
                  <c:v>28.474969572326586</c:v>
                </c:pt>
                <c:pt idx="5">
                  <c:v>28.104580019541782</c:v>
                </c:pt>
                <c:pt idx="6">
                  <c:v>27.627627382200235</c:v>
                </c:pt>
                <c:pt idx="7">
                  <c:v>27.023163775214659</c:v>
                </c:pt>
                <c:pt idx="8">
                  <c:v>26.672461743680987</c:v>
                </c:pt>
                <c:pt idx="9">
                  <c:v>26.291587498470598</c:v>
                </c:pt>
                <c:pt idx="10">
                  <c:v>25.452159419797713</c:v>
                </c:pt>
                <c:pt idx="11">
                  <c:v>24.538921036347837</c:v>
                </c:pt>
                <c:pt idx="12">
                  <c:v>23.59574864038628</c:v>
                </c:pt>
                <c:pt idx="13">
                  <c:v>22.671603008930212</c:v>
                </c:pt>
                <c:pt idx="14">
                  <c:v>21.816991382241067</c:v>
                </c:pt>
                <c:pt idx="15">
                  <c:v>21.082392032849512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23-4AE1-A502-1EB3FCECCD18}"/>
            </c:ext>
          </c:extLst>
        </c:ser>
        <c:ser>
          <c:idx val="2"/>
          <c:order val="2"/>
          <c:tx>
            <c:v>test 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 Limited example'!$M$25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'Power Limited example'!$Q$25</c:f>
              <c:numCache>
                <c:formatCode>0.00</c:formatCode>
                <c:ptCount val="1"/>
                <c:pt idx="0">
                  <c:v>26.825779713108453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23-4AE1-A502-1EB3FCEC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24272"/>
        <c:axId val="1349300144"/>
      </c:scatterChart>
      <c:valAx>
        <c:axId val="118161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03104"/>
        <c:crosses val="autoZero"/>
        <c:crossBetween val="midCat"/>
      </c:valAx>
      <c:valAx>
        <c:axId val="11816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13088"/>
        <c:crosses val="autoZero"/>
        <c:crossBetween val="midCat"/>
      </c:valAx>
      <c:valAx>
        <c:axId val="134930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324272"/>
        <c:crosses val="max"/>
        <c:crossBetween val="midCat"/>
      </c:valAx>
      <c:valAx>
        <c:axId val="13493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30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44450</xdr:rowOff>
    </xdr:from>
    <xdr:to>
      <xdr:col>13</xdr:col>
      <xdr:colOff>231775</xdr:colOff>
      <xdr:row>18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EC87AA-B2A4-478A-BA52-3AC125DE6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396875</xdr:colOff>
      <xdr:row>3</xdr:row>
      <xdr:rowOff>44450</xdr:rowOff>
    </xdr:from>
    <xdr:to>
      <xdr:col>11</xdr:col>
      <xdr:colOff>92075</xdr:colOff>
      <xdr:row>18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908943-AE15-4DCD-9F43-3C329EC426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236537</xdr:colOff>
      <xdr:row>10</xdr:row>
      <xdr:rowOff>44450</xdr:rowOff>
    </xdr:from>
    <xdr:to>
      <xdr:col>22</xdr:col>
      <xdr:colOff>66675</xdr:colOff>
      <xdr:row>33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D6BA75-A006-43B3-A0E4-87A1173F16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593725</xdr:colOff>
      <xdr:row>26</xdr:row>
      <xdr:rowOff>38100</xdr:rowOff>
    </xdr:from>
    <xdr:to>
      <xdr:col>21</xdr:col>
      <xdr:colOff>288925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D8D070-7A80-41C1-B753-2321EF3C1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593725</xdr:colOff>
      <xdr:row>26</xdr:row>
      <xdr:rowOff>38100</xdr:rowOff>
    </xdr:from>
    <xdr:to>
      <xdr:col>20</xdr:col>
      <xdr:colOff>288925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D619DC-9301-4A97-8770-68AF4F7292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012A8-5AA1-4CC5-B9C5-4273EE0B7E7A}">
  <sheetPr codeName="Sheet1"/>
  <dimension ref="A1:B46"/>
  <sheetViews>
    <sheetView topLeftCell="A7" workbookViewId="0">
      <selection activeCell="O8" sqref="O8"/>
    </sheetView>
  </sheetViews>
  <sheetFormatPr defaultRowHeight="14.5" x14ac:dyDescent="0.35"/>
  <sheetData>
    <row r="1" spans="1:2" x14ac:dyDescent="0.35">
      <c r="A1" t="s">
        <v>0</v>
      </c>
    </row>
    <row r="2" spans="1:2" x14ac:dyDescent="0.35">
      <c r="A2" t="s">
        <v>1</v>
      </c>
    </row>
    <row r="3" spans="1:2" x14ac:dyDescent="0.35">
      <c r="A3">
        <v>4.75</v>
      </c>
      <c r="B3">
        <v>1575</v>
      </c>
    </row>
    <row r="4" spans="1:2" x14ac:dyDescent="0.35">
      <c r="A4">
        <v>9.5</v>
      </c>
      <c r="B4">
        <v>1585</v>
      </c>
    </row>
    <row r="5" spans="1:2" x14ac:dyDescent="0.35">
      <c r="A5">
        <v>14.1</v>
      </c>
      <c r="B5">
        <v>1595</v>
      </c>
    </row>
    <row r="6" spans="1:2" x14ac:dyDescent="0.35">
      <c r="A6">
        <v>17.25</v>
      </c>
      <c r="B6">
        <v>1605</v>
      </c>
    </row>
    <row r="7" spans="1:2" x14ac:dyDescent="0.35">
      <c r="A7">
        <v>19.75</v>
      </c>
      <c r="B7">
        <v>1615</v>
      </c>
    </row>
    <row r="8" spans="1:2" x14ac:dyDescent="0.35">
      <c r="A8">
        <v>22.25</v>
      </c>
      <c r="B8">
        <v>1625</v>
      </c>
    </row>
    <row r="9" spans="1:2" x14ac:dyDescent="0.35">
      <c r="A9">
        <v>24.25</v>
      </c>
      <c r="B9">
        <v>1635</v>
      </c>
    </row>
    <row r="10" spans="1:2" x14ac:dyDescent="0.35">
      <c r="A10">
        <v>26.25</v>
      </c>
      <c r="B10">
        <v>1645</v>
      </c>
    </row>
    <row r="11" spans="1:2" x14ac:dyDescent="0.35">
      <c r="A11">
        <v>28</v>
      </c>
      <c r="B11">
        <v>1655</v>
      </c>
    </row>
    <row r="12" spans="1:2" x14ac:dyDescent="0.35">
      <c r="A12">
        <v>30</v>
      </c>
      <c r="B12">
        <v>1665</v>
      </c>
    </row>
    <row r="13" spans="1:2" x14ac:dyDescent="0.35">
      <c r="A13">
        <v>31.5</v>
      </c>
      <c r="B13">
        <v>1675</v>
      </c>
    </row>
    <row r="14" spans="1:2" x14ac:dyDescent="0.35">
      <c r="A14">
        <v>32.75</v>
      </c>
      <c r="B14">
        <v>1685</v>
      </c>
    </row>
    <row r="15" spans="1:2" x14ac:dyDescent="0.35">
      <c r="A15">
        <v>33.85</v>
      </c>
      <c r="B15">
        <v>1695</v>
      </c>
    </row>
    <row r="16" spans="1:2" x14ac:dyDescent="0.35">
      <c r="A16">
        <v>35.1</v>
      </c>
      <c r="B16">
        <v>1705</v>
      </c>
    </row>
    <row r="19" spans="1:2" x14ac:dyDescent="0.35">
      <c r="A19" t="s">
        <v>3</v>
      </c>
    </row>
    <row r="20" spans="1:2" x14ac:dyDescent="0.35">
      <c r="A20" t="s">
        <v>1</v>
      </c>
    </row>
    <row r="21" spans="1:2" x14ac:dyDescent="0.35">
      <c r="A21">
        <v>3.2</v>
      </c>
      <c r="B21">
        <v>1575</v>
      </c>
    </row>
    <row r="22" spans="1:2" x14ac:dyDescent="0.35">
      <c r="A22">
        <v>6.3</v>
      </c>
      <c r="B22">
        <v>1585</v>
      </c>
    </row>
    <row r="23" spans="1:2" x14ac:dyDescent="0.35">
      <c r="A23">
        <v>9.5</v>
      </c>
      <c r="B23">
        <v>1595</v>
      </c>
    </row>
    <row r="24" spans="1:2" x14ac:dyDescent="0.35">
      <c r="A24">
        <v>11.5</v>
      </c>
      <c r="B24">
        <v>1605</v>
      </c>
    </row>
    <row r="25" spans="1:2" x14ac:dyDescent="0.35">
      <c r="A25">
        <v>13.2</v>
      </c>
      <c r="B25">
        <v>1615</v>
      </c>
    </row>
    <row r="26" spans="1:2" x14ac:dyDescent="0.35">
      <c r="A26">
        <v>14.75</v>
      </c>
      <c r="B26">
        <v>1625</v>
      </c>
    </row>
    <row r="27" spans="1:2" x14ac:dyDescent="0.35">
      <c r="A27">
        <v>16.25</v>
      </c>
      <c r="B27">
        <v>1635</v>
      </c>
    </row>
    <row r="28" spans="1:2" x14ac:dyDescent="0.35">
      <c r="A28">
        <v>17.5</v>
      </c>
      <c r="B28">
        <v>1645</v>
      </c>
    </row>
    <row r="29" spans="1:2" x14ac:dyDescent="0.35">
      <c r="A29">
        <v>18.75</v>
      </c>
      <c r="B29">
        <v>1655</v>
      </c>
    </row>
    <row r="30" spans="1:2" x14ac:dyDescent="0.35">
      <c r="A30">
        <v>20</v>
      </c>
      <c r="B30">
        <v>1665</v>
      </c>
    </row>
    <row r="31" spans="1:2" x14ac:dyDescent="0.35">
      <c r="A31">
        <v>20.95</v>
      </c>
      <c r="B31">
        <v>1675</v>
      </c>
    </row>
    <row r="32" spans="1:2" x14ac:dyDescent="0.35">
      <c r="A32">
        <v>21.8</v>
      </c>
      <c r="B32">
        <v>1685</v>
      </c>
    </row>
    <row r="33" spans="1:2" x14ac:dyDescent="0.35">
      <c r="A33">
        <v>22.75</v>
      </c>
      <c r="B33">
        <v>1695</v>
      </c>
    </row>
    <row r="34" spans="1:2" x14ac:dyDescent="0.35">
      <c r="A34">
        <v>23.5</v>
      </c>
      <c r="B34">
        <v>1705</v>
      </c>
    </row>
    <row r="35" spans="1:2" x14ac:dyDescent="0.35">
      <c r="A35">
        <v>23.95</v>
      </c>
      <c r="B35">
        <v>1715</v>
      </c>
    </row>
    <row r="36" spans="1:2" x14ac:dyDescent="0.35">
      <c r="A36">
        <v>24.75</v>
      </c>
      <c r="B36">
        <v>1725</v>
      </c>
    </row>
    <row r="37" spans="1:2" x14ac:dyDescent="0.35">
      <c r="A37">
        <v>25.5</v>
      </c>
      <c r="B37">
        <v>1735</v>
      </c>
    </row>
    <row r="38" spans="1:2" x14ac:dyDescent="0.35">
      <c r="A38">
        <v>26.1</v>
      </c>
      <c r="B38">
        <v>1745</v>
      </c>
    </row>
    <row r="39" spans="1:2" x14ac:dyDescent="0.35">
      <c r="A39">
        <v>27.05</v>
      </c>
      <c r="B39">
        <v>1755</v>
      </c>
    </row>
    <row r="40" spans="1:2" x14ac:dyDescent="0.35">
      <c r="A40">
        <v>27.75</v>
      </c>
      <c r="B40">
        <v>1765</v>
      </c>
    </row>
    <row r="41" spans="1:2" x14ac:dyDescent="0.35">
      <c r="A41">
        <v>28.8</v>
      </c>
      <c r="B41">
        <v>1775</v>
      </c>
    </row>
    <row r="42" spans="1:2" x14ac:dyDescent="0.35">
      <c r="A42">
        <v>29.75</v>
      </c>
      <c r="B42">
        <v>1785</v>
      </c>
    </row>
    <row r="43" spans="1:2" x14ac:dyDescent="0.35">
      <c r="A43">
        <v>30.75</v>
      </c>
      <c r="B43">
        <v>1795</v>
      </c>
    </row>
    <row r="44" spans="1:2" x14ac:dyDescent="0.35">
      <c r="A44">
        <v>31.6</v>
      </c>
      <c r="B44">
        <v>1805</v>
      </c>
    </row>
    <row r="45" spans="1:2" x14ac:dyDescent="0.35">
      <c r="A45">
        <v>32.700000000000003</v>
      </c>
      <c r="B45">
        <v>1815</v>
      </c>
    </row>
    <row r="46" spans="1:2" x14ac:dyDescent="0.35">
      <c r="A46">
        <v>33.5</v>
      </c>
      <c r="B46">
        <v>1825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C08B7-66B1-4AD7-9C0D-4D442DBE12FE}">
  <sheetPr codeName="Sheet2"/>
  <dimension ref="A2:B14"/>
  <sheetViews>
    <sheetView workbookViewId="0">
      <selection activeCell="A2" sqref="A2:B14"/>
    </sheetView>
  </sheetViews>
  <sheetFormatPr defaultRowHeight="14.5" x14ac:dyDescent="0.35"/>
  <sheetData>
    <row r="2" spans="1:2" x14ac:dyDescent="0.35">
      <c r="A2" t="s">
        <v>5</v>
      </c>
      <c r="B2" t="s">
        <v>4</v>
      </c>
    </row>
    <row r="3" spans="1:2" x14ac:dyDescent="0.35">
      <c r="A3">
        <v>160</v>
      </c>
      <c r="B3">
        <v>16</v>
      </c>
    </row>
    <row r="4" spans="1:2" x14ac:dyDescent="0.35">
      <c r="A4">
        <v>400</v>
      </c>
      <c r="B4">
        <v>35</v>
      </c>
    </row>
    <row r="5" spans="1:2" x14ac:dyDescent="0.35">
      <c r="A5">
        <v>600</v>
      </c>
      <c r="B5">
        <v>53</v>
      </c>
    </row>
    <row r="6" spans="1:2" x14ac:dyDescent="0.35">
      <c r="A6">
        <v>800</v>
      </c>
      <c r="B6">
        <v>64</v>
      </c>
    </row>
    <row r="7" spans="1:2" x14ac:dyDescent="0.35">
      <c r="A7">
        <v>1000</v>
      </c>
      <c r="B7">
        <v>72</v>
      </c>
    </row>
    <row r="8" spans="1:2" x14ac:dyDescent="0.35">
      <c r="A8">
        <v>1200</v>
      </c>
      <c r="B8">
        <v>77</v>
      </c>
    </row>
    <row r="9" spans="1:2" x14ac:dyDescent="0.35">
      <c r="A9">
        <v>1400</v>
      </c>
      <c r="B9">
        <v>78</v>
      </c>
    </row>
    <row r="10" spans="1:2" x14ac:dyDescent="0.35">
      <c r="A10">
        <v>1600</v>
      </c>
      <c r="B10">
        <v>78</v>
      </c>
    </row>
    <row r="11" spans="1:2" x14ac:dyDescent="0.35">
      <c r="A11">
        <v>1800</v>
      </c>
      <c r="B11">
        <v>76</v>
      </c>
    </row>
    <row r="12" spans="1:2" x14ac:dyDescent="0.35">
      <c r="A12">
        <v>2000</v>
      </c>
      <c r="B12">
        <v>73</v>
      </c>
    </row>
    <row r="13" spans="1:2" x14ac:dyDescent="0.35">
      <c r="A13">
        <v>2200</v>
      </c>
      <c r="B13">
        <v>68</v>
      </c>
    </row>
    <row r="14" spans="1:2" x14ac:dyDescent="0.35">
      <c r="A14">
        <v>2400</v>
      </c>
      <c r="B14">
        <v>62.5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739B5-0EA1-4055-AF34-2955704FFC15}">
  <sheetPr codeName="Sheet3"/>
  <dimension ref="A1:I26"/>
  <sheetViews>
    <sheetView topLeftCell="A13" workbookViewId="0">
      <selection sqref="A1:B8"/>
    </sheetView>
  </sheetViews>
  <sheetFormatPr defaultRowHeight="14.5" x14ac:dyDescent="0.35"/>
  <sheetData>
    <row r="1" spans="1:9" x14ac:dyDescent="0.35">
      <c r="A1" t="s">
        <v>6</v>
      </c>
    </row>
    <row r="3" spans="1:9" x14ac:dyDescent="0.35">
      <c r="A3" t="s">
        <v>7</v>
      </c>
      <c r="B3">
        <v>74</v>
      </c>
    </row>
    <row r="4" spans="1:9" x14ac:dyDescent="0.35">
      <c r="A4" t="s">
        <v>8</v>
      </c>
      <c r="B4">
        <v>34</v>
      </c>
    </row>
    <row r="5" spans="1:9" x14ac:dyDescent="0.35">
      <c r="A5" t="s">
        <v>15</v>
      </c>
      <c r="B5">
        <v>34</v>
      </c>
    </row>
    <row r="6" spans="1:9" x14ac:dyDescent="0.35">
      <c r="A6" t="s">
        <v>9</v>
      </c>
      <c r="B6">
        <v>210</v>
      </c>
    </row>
    <row r="7" spans="1:9" x14ac:dyDescent="0.35">
      <c r="A7" t="s">
        <v>10</v>
      </c>
      <c r="B7">
        <f>B3*B6/229</f>
        <v>67.860262008733628</v>
      </c>
    </row>
    <row r="8" spans="1:9" x14ac:dyDescent="0.35">
      <c r="A8" t="s">
        <v>18</v>
      </c>
      <c r="B8">
        <f>B3/B4</f>
        <v>2.1764705882352939</v>
      </c>
    </row>
    <row r="10" spans="1:9" x14ac:dyDescent="0.35">
      <c r="A10" t="s">
        <v>11</v>
      </c>
      <c r="B10" t="s">
        <v>12</v>
      </c>
      <c r="C10" t="s">
        <v>13</v>
      </c>
      <c r="D10" t="s">
        <v>2</v>
      </c>
      <c r="E10" t="s">
        <v>16</v>
      </c>
      <c r="F10" t="s">
        <v>14</v>
      </c>
      <c r="G10" t="s">
        <v>5</v>
      </c>
      <c r="H10" t="s">
        <v>4</v>
      </c>
      <c r="I10" t="s">
        <v>17</v>
      </c>
    </row>
    <row r="11" spans="1:9" ht="16.5" x14ac:dyDescent="0.35">
      <c r="A11">
        <v>2</v>
      </c>
      <c r="B11">
        <f xml:space="preserve"> 0.00008059216*A11^4 - 0.004760923*A11^3 + 0.1800121*A11^2 - 0.1733923*A11 + 1572.592</f>
        <v>1572.9284658905601</v>
      </c>
      <c r="C11">
        <f xml:space="preserve"> -0.0007461918*A11^4 + 0.04993315*A11^3 - 0.8642802*A11^2 + 9.030949*A11 + 1552.477</f>
        <v>1567.4693033312001</v>
      </c>
      <c r="D11">
        <f>((B11-C11)/(150-100))*($B$7-100)+C11</f>
        <v>1563.9601822450088</v>
      </c>
      <c r="E11">
        <f>A11*PI()*($B$5/12/2)^2/0.00223</f>
        <v>5654.7102446901481</v>
      </c>
      <c r="F11">
        <f>($B$6*$B$3/D11)^2</f>
        <v>98.730342840799736</v>
      </c>
      <c r="G11">
        <f t="shared" ref="G11:G19" si="0">$B$6*E11^0.5/F11^(3/4)</f>
        <v>504.1810157636906</v>
      </c>
      <c r="H11">
        <f>0.00000000714842*G11^3 - 0.0000584345*G11^2 + 0.1267468*G11- 4.093793</f>
        <v>45.871731522060465</v>
      </c>
      <c r="I11">
        <f>F11*E11/(3960*H11/100)</f>
        <v>307.34112834969784</v>
      </c>
    </row>
    <row r="12" spans="1:9" x14ac:dyDescent="0.35">
      <c r="A12">
        <v>4</v>
      </c>
      <c r="B12">
        <f t="shared" ref="B12:B26" si="1" xml:space="preserve"> 0.00008059216*A12^4 - 0.004760923*A12^3 + 0.1800121*A12^2 - 0.1733923*A12 + 1572.592</f>
        <v>1574.4945569209601</v>
      </c>
      <c r="C12">
        <f t="shared" ref="C12:C26" si="2" xml:space="preserve"> -0.0007461918*A12^4 + 0.04993315*A12^3 - 0.8642802*A12^2 + 9.030949*A12 + 1552.477</f>
        <v>1577.7770092992</v>
      </c>
      <c r="D12">
        <f t="shared" ref="D12:D26" si="3">((B12-C12)/(150-100))*($B$7-100)+C12</f>
        <v>1579.8869524873089</v>
      </c>
      <c r="E12">
        <f t="shared" ref="E12:E25" si="4">A12*PI()*($B$5/12/2)^2/0.00223</f>
        <v>11309.420489380296</v>
      </c>
      <c r="F12">
        <f t="shared" ref="F12:F26" si="5">($B$6*$B$3/D12)^2</f>
        <v>96.74978396989485</v>
      </c>
      <c r="G12">
        <f t="shared" si="0"/>
        <v>723.93899004896889</v>
      </c>
      <c r="H12">
        <f t="shared" ref="H12:H26" si="6">0.00000000714842*G12^3 - 0.0000584345*G12^2 + 0.1267468*G12- 4.093793</f>
        <v>59.750521044530608</v>
      </c>
      <c r="I12">
        <f t="shared" ref="I12:I26" si="7">F12*E12/(3960*H12/100)</f>
        <v>462.43795592825569</v>
      </c>
    </row>
    <row r="13" spans="1:9" x14ac:dyDescent="0.35">
      <c r="A13">
        <v>6</v>
      </c>
      <c r="B13">
        <f t="shared" si="1"/>
        <v>1577.1081698713601</v>
      </c>
      <c r="C13">
        <f t="shared" si="2"/>
        <v>1585.3671026272</v>
      </c>
      <c r="D13">
        <f t="shared" si="3"/>
        <v>1590.6759013244036</v>
      </c>
      <c r="E13">
        <f t="shared" si="4"/>
        <v>16964.130734070444</v>
      </c>
      <c r="F13">
        <f t="shared" si="5"/>
        <v>95.441800963551216</v>
      </c>
      <c r="G13">
        <f t="shared" si="0"/>
        <v>895.73827229182371</v>
      </c>
      <c r="H13">
        <f t="shared" si="6"/>
        <v>67.690936961494273</v>
      </c>
      <c r="I13">
        <f t="shared" si="7"/>
        <v>604.01055093314972</v>
      </c>
    </row>
    <row r="14" spans="1:9" x14ac:dyDescent="0.35">
      <c r="A14">
        <v>8</v>
      </c>
      <c r="B14">
        <f t="shared" si="1"/>
        <v>1580.6181489113601</v>
      </c>
      <c r="C14">
        <f t="shared" si="2"/>
        <v>1591.9200303872001</v>
      </c>
      <c r="D14">
        <f t="shared" si="3"/>
        <v>1599.1848205760371</v>
      </c>
      <c r="E14">
        <f t="shared" si="4"/>
        <v>22618.840978760592</v>
      </c>
      <c r="F14">
        <f t="shared" si="5"/>
        <v>94.428852310217707</v>
      </c>
      <c r="G14">
        <f t="shared" si="0"/>
        <v>1042.6197201019372</v>
      </c>
      <c r="H14">
        <f t="shared" si="6"/>
        <v>72.635271698221189</v>
      </c>
      <c r="I14">
        <f t="shared" si="7"/>
        <v>742.56129297706877</v>
      </c>
    </row>
    <row r="15" spans="1:9" x14ac:dyDescent="0.35">
      <c r="A15">
        <v>10</v>
      </c>
      <c r="B15">
        <f t="shared" si="1"/>
        <v>1584.9042856000001</v>
      </c>
      <c r="C15">
        <f t="shared" si="2"/>
        <v>1598.829702</v>
      </c>
      <c r="D15">
        <f t="shared" si="3"/>
        <v>1607.7808866903056</v>
      </c>
      <c r="E15">
        <f t="shared" si="4"/>
        <v>28273.551223450744</v>
      </c>
      <c r="F15">
        <f t="shared" si="5"/>
        <v>93.421816182173828</v>
      </c>
      <c r="G15">
        <f t="shared" si="0"/>
        <v>1175.0957224993467</v>
      </c>
      <c r="H15">
        <f t="shared" si="6"/>
        <v>75.755799726433651</v>
      </c>
      <c r="I15">
        <f t="shared" si="7"/>
        <v>880.47614327842837</v>
      </c>
    </row>
    <row r="16" spans="1:9" x14ac:dyDescent="0.35">
      <c r="A16">
        <v>12</v>
      </c>
      <c r="B16">
        <f t="shared" si="1"/>
        <v>1589.8773188857601</v>
      </c>
      <c r="C16">
        <f t="shared" si="2"/>
        <v>1607.2034892352001</v>
      </c>
      <c r="D16">
        <f t="shared" si="3"/>
        <v>1618.3406607436611</v>
      </c>
      <c r="E16">
        <f t="shared" si="4"/>
        <v>33928.261468140889</v>
      </c>
      <c r="F16">
        <f t="shared" si="5"/>
        <v>92.206627360701376</v>
      </c>
      <c r="G16">
        <f t="shared" si="0"/>
        <v>1299.9555276624442</v>
      </c>
      <c r="H16">
        <f t="shared" si="6"/>
        <v>77.627328833773703</v>
      </c>
      <c r="I16">
        <f t="shared" si="7"/>
        <v>1017.6862698846495</v>
      </c>
    </row>
    <row r="17" spans="1:9" x14ac:dyDescent="0.35">
      <c r="A17">
        <v>14</v>
      </c>
      <c r="B17">
        <f t="shared" si="1"/>
        <v>1595.4789351065601</v>
      </c>
      <c r="C17">
        <f t="shared" si="2"/>
        <v>1617.8622262112001</v>
      </c>
      <c r="D17">
        <f t="shared" si="3"/>
        <v>1632.2500884409076</v>
      </c>
      <c r="E17">
        <f t="shared" si="4"/>
        <v>39582.971712831044</v>
      </c>
      <c r="F17">
        <f t="shared" si="5"/>
        <v>90.64182212007951</v>
      </c>
      <c r="G17">
        <f t="shared" si="0"/>
        <v>1422.2535361945133</v>
      </c>
      <c r="H17">
        <f t="shared" si="6"/>
        <v>78.536273494886686</v>
      </c>
      <c r="I17">
        <f t="shared" si="7"/>
        <v>1153.6432968793174</v>
      </c>
    </row>
    <row r="18" spans="1:9" x14ac:dyDescent="0.35">
      <c r="A18">
        <v>16</v>
      </c>
      <c r="B18">
        <f t="shared" si="1"/>
        <v>1601.6817679897601</v>
      </c>
      <c r="C18">
        <f t="shared" si="2"/>
        <v>1631.3402093952</v>
      </c>
      <c r="D18">
        <f t="shared" si="3"/>
        <v>1650.4045001152033</v>
      </c>
      <c r="E18">
        <f t="shared" si="4"/>
        <v>45237.681957521185</v>
      </c>
      <c r="F18">
        <f t="shared" si="5"/>
        <v>88.658673803197701</v>
      </c>
      <c r="G18">
        <f t="shared" si="0"/>
        <v>1545.8898412332635</v>
      </c>
      <c r="H18">
        <f t="shared" si="6"/>
        <v>78.606085841573005</v>
      </c>
      <c r="I18">
        <f t="shared" si="7"/>
        <v>1288.4578516752977</v>
      </c>
    </row>
    <row r="19" spans="1:9" x14ac:dyDescent="0.35">
      <c r="A19">
        <v>17</v>
      </c>
      <c r="B19">
        <f t="shared" si="1"/>
        <v>1605.00855089636</v>
      </c>
      <c r="C19">
        <f t="shared" si="2"/>
        <v>1639.2250358222</v>
      </c>
      <c r="D19">
        <f t="shared" si="3"/>
        <v>1661.2192130321721</v>
      </c>
      <c r="E19">
        <f t="shared" si="4"/>
        <v>48065.03707986627</v>
      </c>
      <c r="F19">
        <f t="shared" si="5"/>
        <v>87.508076586879881</v>
      </c>
      <c r="G19">
        <f t="shared" si="0"/>
        <v>1609.1548254056006</v>
      </c>
      <c r="H19">
        <f t="shared" si="6"/>
        <v>78.337758157509185</v>
      </c>
      <c r="I19">
        <f t="shared" si="7"/>
        <v>1355.8482817801487</v>
      </c>
    </row>
    <row r="20" spans="1:9" x14ac:dyDescent="0.35">
      <c r="A20">
        <v>18</v>
      </c>
      <c r="B20">
        <f t="shared" si="1"/>
        <v>1608.4893986521602</v>
      </c>
      <c r="C20">
        <f t="shared" si="2"/>
        <v>1647.8851976032001</v>
      </c>
      <c r="D20">
        <f t="shared" si="3"/>
        <v>1673.2086107280609</v>
      </c>
      <c r="E20">
        <f t="shared" si="4"/>
        <v>50892.392202211333</v>
      </c>
      <c r="F20">
        <f t="shared" si="5"/>
        <v>86.258489168210616</v>
      </c>
      <c r="G20">
        <f>$B$6*E20^0.5/F20^(3/4)</f>
        <v>1673.7644603471067</v>
      </c>
      <c r="H20">
        <f t="shared" si="6"/>
        <v>77.866133797047524</v>
      </c>
      <c r="I20">
        <f t="shared" si="7"/>
        <v>1423.6751840090528</v>
      </c>
    </row>
    <row r="21" spans="1:9" x14ac:dyDescent="0.35">
      <c r="A21">
        <v>20</v>
      </c>
      <c r="B21">
        <f t="shared" si="1"/>
        <v>1615.9363556000001</v>
      </c>
      <c r="C21">
        <f t="shared" si="2"/>
        <v>1667.4584120000002</v>
      </c>
      <c r="D21">
        <f t="shared" si="3"/>
        <v>1700.5765198693452</v>
      </c>
      <c r="E21">
        <f t="shared" si="4"/>
        <v>56547.102446901488</v>
      </c>
      <c r="F21">
        <f t="shared" si="5"/>
        <v>83.504460038706398</v>
      </c>
      <c r="G21">
        <f t="shared" ref="G21:G26" si="8">$B$6*E21^0.5/F21^(3/4)</f>
        <v>1807.7660191524085</v>
      </c>
      <c r="H21">
        <f t="shared" si="6"/>
        <v>76.301288838864224</v>
      </c>
      <c r="I21">
        <f t="shared" si="7"/>
        <v>1562.762452931054</v>
      </c>
    </row>
    <row r="22" spans="1:9" x14ac:dyDescent="0.35">
      <c r="A22">
        <v>22</v>
      </c>
      <c r="B22">
        <f t="shared" si="1"/>
        <v>1624.0881147289601</v>
      </c>
      <c r="C22">
        <f t="shared" si="2"/>
        <v>1689.7345360992001</v>
      </c>
      <c r="D22">
        <f t="shared" si="3"/>
        <v>1731.9317117572757</v>
      </c>
      <c r="E22">
        <f t="shared" si="4"/>
        <v>62201.812691591629</v>
      </c>
      <c r="F22">
        <f t="shared" si="5"/>
        <v>80.508271116626759</v>
      </c>
      <c r="G22">
        <f t="shared" si="8"/>
        <v>1948.6796056397902</v>
      </c>
      <c r="H22">
        <f t="shared" si="6"/>
        <v>73.895775078389875</v>
      </c>
      <c r="I22">
        <f t="shared" si="7"/>
        <v>1711.310231586099</v>
      </c>
    </row>
    <row r="23" spans="1:9" x14ac:dyDescent="0.35">
      <c r="A23">
        <v>24</v>
      </c>
      <c r="B23">
        <f t="shared" si="1"/>
        <v>1633.0410993241601</v>
      </c>
      <c r="C23">
        <f t="shared" si="2"/>
        <v>1714.1017157632002</v>
      </c>
      <c r="D23">
        <f t="shared" si="3"/>
        <v>1766.2070552384259</v>
      </c>
      <c r="E23">
        <f t="shared" si="4"/>
        <v>67856.522936281777</v>
      </c>
      <c r="F23">
        <f t="shared" si="5"/>
        <v>77.413873492080967</v>
      </c>
      <c r="G23">
        <f t="shared" si="8"/>
        <v>2096.046904677924</v>
      </c>
      <c r="H23">
        <f t="shared" si="6"/>
        <v>70.674937185271915</v>
      </c>
      <c r="I23">
        <f t="shared" si="7"/>
        <v>1876.9373791021383</v>
      </c>
    </row>
    <row r="24" spans="1:9" x14ac:dyDescent="0.35">
      <c r="A24">
        <v>26</v>
      </c>
      <c r="B24">
        <f t="shared" si="1"/>
        <v>1642.92268006016</v>
      </c>
      <c r="C24">
        <f t="shared" si="2"/>
        <v>1739.6615592032001</v>
      </c>
      <c r="D24">
        <f t="shared" si="3"/>
        <v>1801.844803787722</v>
      </c>
      <c r="E24">
        <f t="shared" si="4"/>
        <v>73511.233180971933</v>
      </c>
      <c r="F24">
        <f t="shared" si="5"/>
        <v>74.381899635597804</v>
      </c>
      <c r="G24">
        <f t="shared" si="8"/>
        <v>2247.9968569227663</v>
      </c>
      <c r="H24">
        <f t="shared" si="6"/>
        <v>66.742151919141463</v>
      </c>
      <c r="I24">
        <f t="shared" si="7"/>
        <v>2068.8337036938615</v>
      </c>
    </row>
    <row r="25" spans="1:9" x14ac:dyDescent="0.35">
      <c r="A25">
        <v>28</v>
      </c>
      <c r="B25">
        <f t="shared" si="1"/>
        <v>1653.8911750009602</v>
      </c>
      <c r="C25">
        <f t="shared" si="2"/>
        <v>1765.2291369792001</v>
      </c>
      <c r="D25">
        <f t="shared" si="3"/>
        <v>1836.7965955084444</v>
      </c>
      <c r="E25">
        <f t="shared" si="4"/>
        <v>79165.943425662088</v>
      </c>
      <c r="F25">
        <f t="shared" si="5"/>
        <v>71.578055716013992</v>
      </c>
      <c r="G25">
        <f t="shared" si="8"/>
        <v>2401.0630669317702</v>
      </c>
      <c r="H25">
        <f t="shared" si="6"/>
        <v>62.303437603238201</v>
      </c>
      <c r="I25">
        <f t="shared" si="7"/>
        <v>2296.7360834443562</v>
      </c>
    </row>
    <row r="26" spans="1:9" x14ac:dyDescent="0.35">
      <c r="A26">
        <v>30</v>
      </c>
      <c r="B26">
        <f t="shared" si="1"/>
        <v>1666.1358496</v>
      </c>
      <c r="C26">
        <f t="shared" si="2"/>
        <v>1789.3329820000001</v>
      </c>
      <c r="D26">
        <f t="shared" si="3"/>
        <v>1868.5234531322274</v>
      </c>
      <c r="E26">
        <f>A26*PI()*($B$5/12/2)^2/0.00223</f>
        <v>84820.653670352214</v>
      </c>
      <c r="F26">
        <f t="shared" si="5"/>
        <v>69.167952863679503</v>
      </c>
      <c r="G26">
        <f t="shared" si="8"/>
        <v>2550.0072229034313</v>
      </c>
      <c r="H26">
        <f t="shared" si="6"/>
        <v>57.670613584789074</v>
      </c>
      <c r="I26">
        <f t="shared" si="7"/>
        <v>2568.9566702822544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F875-E3FC-4331-BC90-DD7AEB1C82E6}">
  <sheetPr codeName="Sheet5"/>
  <dimension ref="A1:DZ52"/>
  <sheetViews>
    <sheetView tabSelected="1" topLeftCell="CS15" workbookViewId="0">
      <selection activeCell="DE26" sqref="DE26"/>
    </sheetView>
  </sheetViews>
  <sheetFormatPr defaultRowHeight="14.5" x14ac:dyDescent="0.35"/>
  <cols>
    <col min="11" max="20" width="8.7265625" customWidth="1"/>
    <col min="21" max="30" width="8.7265625" style="4"/>
    <col min="41" max="50" width="8.7265625" style="4"/>
  </cols>
  <sheetData>
    <row r="1" spans="1:120" x14ac:dyDescent="0.35">
      <c r="A1" t="s">
        <v>6</v>
      </c>
    </row>
    <row r="3" spans="1:120" x14ac:dyDescent="0.35">
      <c r="A3" t="s">
        <v>7</v>
      </c>
      <c r="B3">
        <v>74</v>
      </c>
      <c r="C3" t="s">
        <v>45</v>
      </c>
      <c r="D3">
        <f>B3*0.3048/12</f>
        <v>1.8796000000000002</v>
      </c>
    </row>
    <row r="4" spans="1:120" x14ac:dyDescent="0.35">
      <c r="A4" t="s">
        <v>8</v>
      </c>
      <c r="B4">
        <v>34</v>
      </c>
      <c r="C4" t="s">
        <v>45</v>
      </c>
      <c r="D4">
        <f t="shared" ref="D4:D5" si="0">B4*0.3048/12</f>
        <v>0.86360000000000003</v>
      </c>
    </row>
    <row r="5" spans="1:120" x14ac:dyDescent="0.35">
      <c r="A5" t="s">
        <v>15</v>
      </c>
      <c r="B5">
        <v>34</v>
      </c>
      <c r="C5" t="s">
        <v>45</v>
      </c>
      <c r="D5">
        <f t="shared" si="0"/>
        <v>0.86360000000000003</v>
      </c>
    </row>
    <row r="6" spans="1:120" x14ac:dyDescent="0.35">
      <c r="A6" t="s">
        <v>9</v>
      </c>
      <c r="B6">
        <v>210</v>
      </c>
      <c r="C6" t="s">
        <v>32</v>
      </c>
      <c r="D6">
        <f>B6/60</f>
        <v>3.5</v>
      </c>
      <c r="E6" t="s">
        <v>33</v>
      </c>
    </row>
    <row r="7" spans="1:120" x14ac:dyDescent="0.35">
      <c r="A7" t="s">
        <v>10</v>
      </c>
      <c r="B7">
        <f>B3*B6/229</f>
        <v>67.860262008733628</v>
      </c>
    </row>
    <row r="8" spans="1:120" x14ac:dyDescent="0.35">
      <c r="A8" t="s">
        <v>18</v>
      </c>
      <c r="B8">
        <f>B3/B4</f>
        <v>2.1764705882352939</v>
      </c>
    </row>
    <row r="10" spans="1:120" x14ac:dyDescent="0.35">
      <c r="A10" t="s">
        <v>20</v>
      </c>
      <c r="B10">
        <v>1500</v>
      </c>
    </row>
    <row r="11" spans="1:120" x14ac:dyDescent="0.35">
      <c r="A11" t="s">
        <v>21</v>
      </c>
      <c r="B11">
        <v>1.25</v>
      </c>
    </row>
    <row r="12" spans="1:120" x14ac:dyDescent="0.35">
      <c r="A12" t="s">
        <v>22</v>
      </c>
      <c r="B12">
        <f>B10/B11</f>
        <v>1200</v>
      </c>
      <c r="C12" t="s">
        <v>31</v>
      </c>
      <c r="D12">
        <v>895</v>
      </c>
    </row>
    <row r="14" spans="1:120" ht="15" customHeight="1" x14ac:dyDescent="0.35">
      <c r="A14" t="s">
        <v>24</v>
      </c>
      <c r="B14">
        <v>32.14</v>
      </c>
      <c r="C14" t="s">
        <v>34</v>
      </c>
      <c r="D14">
        <v>9.81</v>
      </c>
      <c r="E14" t="s">
        <v>35</v>
      </c>
    </row>
    <row r="15" spans="1:120" x14ac:dyDescent="0.35">
      <c r="A15" t="s">
        <v>52</v>
      </c>
      <c r="B15">
        <v>0.99819999999999998</v>
      </c>
      <c r="C15" t="s">
        <v>53</v>
      </c>
      <c r="T15" s="4"/>
      <c r="AC15"/>
      <c r="AD15"/>
      <c r="AO15"/>
      <c r="AP15"/>
      <c r="AQ15"/>
      <c r="AR15"/>
      <c r="AS15"/>
      <c r="AT15"/>
      <c r="AU15"/>
      <c r="AV15"/>
      <c r="AW15"/>
      <c r="AX15"/>
    </row>
    <row r="16" spans="1:120" x14ac:dyDescent="0.35">
      <c r="K16" t="s">
        <v>23</v>
      </c>
      <c r="U16" s="4" t="s">
        <v>36</v>
      </c>
      <c r="AE16" t="s">
        <v>44</v>
      </c>
      <c r="AO16" s="4" t="s">
        <v>38</v>
      </c>
      <c r="AY16" t="s">
        <v>47</v>
      </c>
      <c r="BI16" s="4" t="s">
        <v>48</v>
      </c>
      <c r="BJ16" s="4"/>
      <c r="BK16" s="4"/>
      <c r="BL16" s="4"/>
      <c r="BM16" s="4"/>
      <c r="BN16" s="4"/>
      <c r="BO16" s="4"/>
      <c r="BP16" s="4"/>
      <c r="BQ16" s="4"/>
      <c r="BR16" s="4"/>
      <c r="BS16" t="s">
        <v>49</v>
      </c>
      <c r="CC16" s="4" t="s">
        <v>50</v>
      </c>
      <c r="CD16" s="4"/>
      <c r="CE16" s="4"/>
      <c r="CF16" s="4"/>
      <c r="CG16" s="4"/>
      <c r="CH16" s="4"/>
      <c r="CI16" s="4"/>
      <c r="CJ16" s="4"/>
      <c r="CK16" s="4"/>
      <c r="CL16" s="4"/>
      <c r="CM16" t="s">
        <v>51</v>
      </c>
      <c r="CW16" s="4" t="s">
        <v>50</v>
      </c>
      <c r="CX16" s="4"/>
      <c r="CY16" s="4"/>
      <c r="CZ16" s="4"/>
      <c r="DA16" s="4"/>
      <c r="DB16" s="4"/>
      <c r="DC16" s="4"/>
      <c r="DD16" s="4"/>
      <c r="DE16" s="4"/>
      <c r="DF16" s="4"/>
      <c r="DG16" s="4" t="s">
        <v>51</v>
      </c>
      <c r="DH16" s="4"/>
      <c r="DI16" s="4"/>
      <c r="DJ16" s="4"/>
      <c r="DK16" s="4"/>
      <c r="DL16" s="4"/>
      <c r="DM16" s="4"/>
      <c r="DN16" s="4"/>
      <c r="DO16" s="4"/>
      <c r="DP16" s="4"/>
    </row>
    <row r="17" spans="1:130" x14ac:dyDescent="0.35">
      <c r="A17" t="s">
        <v>25</v>
      </c>
      <c r="B17" t="s">
        <v>26</v>
      </c>
      <c r="C17" t="s">
        <v>27</v>
      </c>
      <c r="E17" t="s">
        <v>28</v>
      </c>
      <c r="F17" t="s">
        <v>29</v>
      </c>
      <c r="G17" t="s">
        <v>30</v>
      </c>
      <c r="H17" t="s">
        <v>4</v>
      </c>
      <c r="J17" t="s">
        <v>37</v>
      </c>
      <c r="K17" t="s">
        <v>39</v>
      </c>
      <c r="L17" t="s">
        <v>41</v>
      </c>
      <c r="M17" t="s">
        <v>22</v>
      </c>
      <c r="N17" t="s">
        <v>40</v>
      </c>
      <c r="O17" t="s">
        <v>42</v>
      </c>
      <c r="P17" t="s">
        <v>19</v>
      </c>
      <c r="Q17" t="s">
        <v>43</v>
      </c>
      <c r="R17" t="s">
        <v>46</v>
      </c>
      <c r="S17" t="s">
        <v>14</v>
      </c>
      <c r="T17" t="s">
        <v>4</v>
      </c>
      <c r="U17" s="4" t="s">
        <v>39</v>
      </c>
      <c r="V17" s="4" t="s">
        <v>41</v>
      </c>
      <c r="W17" s="4" t="s">
        <v>22</v>
      </c>
      <c r="X17" s="4" t="s">
        <v>40</v>
      </c>
      <c r="Y17" s="4" t="s">
        <v>42</v>
      </c>
      <c r="Z17" s="4" t="s">
        <v>19</v>
      </c>
      <c r="AA17" s="4" t="s">
        <v>43</v>
      </c>
      <c r="AB17" s="4" t="s">
        <v>46</v>
      </c>
      <c r="AC17" s="4" t="s">
        <v>14</v>
      </c>
      <c r="AD17" s="4" t="s">
        <v>4</v>
      </c>
      <c r="AE17" t="s">
        <v>39</v>
      </c>
      <c r="AF17" t="s">
        <v>41</v>
      </c>
      <c r="AG17" t="s">
        <v>22</v>
      </c>
      <c r="AH17" t="s">
        <v>40</v>
      </c>
      <c r="AI17" t="s">
        <v>42</v>
      </c>
      <c r="AJ17" t="s">
        <v>19</v>
      </c>
      <c r="AK17" t="s">
        <v>43</v>
      </c>
      <c r="AL17" t="s">
        <v>46</v>
      </c>
      <c r="AM17" t="s">
        <v>14</v>
      </c>
      <c r="AN17" t="s">
        <v>4</v>
      </c>
      <c r="AO17" s="4" t="s">
        <v>39</v>
      </c>
      <c r="AP17" s="4" t="s">
        <v>41</v>
      </c>
      <c r="AQ17" s="4" t="s">
        <v>22</v>
      </c>
      <c r="AR17" s="4" t="s">
        <v>40</v>
      </c>
      <c r="AS17" s="4" t="s">
        <v>42</v>
      </c>
      <c r="AT17" s="4" t="s">
        <v>19</v>
      </c>
      <c r="AU17" s="4" t="s">
        <v>43</v>
      </c>
      <c r="AV17" s="4" t="s">
        <v>46</v>
      </c>
      <c r="AW17" s="4" t="s">
        <v>14</v>
      </c>
      <c r="AX17" s="4" t="s">
        <v>4</v>
      </c>
      <c r="AY17" t="s">
        <v>39</v>
      </c>
      <c r="AZ17" t="s">
        <v>41</v>
      </c>
      <c r="BA17" t="s">
        <v>22</v>
      </c>
      <c r="BB17" t="s">
        <v>40</v>
      </c>
      <c r="BC17" t="s">
        <v>42</v>
      </c>
      <c r="BD17" t="s">
        <v>19</v>
      </c>
      <c r="BE17" t="s">
        <v>43</v>
      </c>
      <c r="BF17" t="s">
        <v>46</v>
      </c>
      <c r="BG17" t="s">
        <v>14</v>
      </c>
      <c r="BH17" t="s">
        <v>4</v>
      </c>
      <c r="BI17" s="4" t="s">
        <v>39</v>
      </c>
      <c r="BJ17" s="4" t="s">
        <v>41</v>
      </c>
      <c r="BK17" s="4" t="s">
        <v>22</v>
      </c>
      <c r="BL17" s="4" t="s">
        <v>40</v>
      </c>
      <c r="BM17" s="4" t="s">
        <v>42</v>
      </c>
      <c r="BN17" s="4" t="s">
        <v>19</v>
      </c>
      <c r="BO17" s="4" t="s">
        <v>43</v>
      </c>
      <c r="BP17" s="4" t="s">
        <v>46</v>
      </c>
      <c r="BQ17" s="4" t="s">
        <v>14</v>
      </c>
      <c r="BR17" s="4" t="s">
        <v>4</v>
      </c>
      <c r="BS17" t="s">
        <v>39</v>
      </c>
      <c r="BT17" t="s">
        <v>41</v>
      </c>
      <c r="BU17" t="s">
        <v>22</v>
      </c>
      <c r="BV17" t="s">
        <v>40</v>
      </c>
      <c r="BW17" t="s">
        <v>42</v>
      </c>
      <c r="BX17" t="s">
        <v>19</v>
      </c>
      <c r="BY17" t="s">
        <v>43</v>
      </c>
      <c r="BZ17" t="s">
        <v>46</v>
      </c>
      <c r="CA17" t="s">
        <v>14</v>
      </c>
      <c r="CB17" t="s">
        <v>4</v>
      </c>
      <c r="CC17" s="4" t="s">
        <v>39</v>
      </c>
      <c r="CD17" s="4" t="s">
        <v>41</v>
      </c>
      <c r="CE17" s="4" t="s">
        <v>22</v>
      </c>
      <c r="CF17" s="4" t="s">
        <v>40</v>
      </c>
      <c r="CG17" s="4" t="s">
        <v>42</v>
      </c>
      <c r="CH17" s="4" t="s">
        <v>19</v>
      </c>
      <c r="CI17" s="4" t="s">
        <v>43</v>
      </c>
      <c r="CJ17" s="4" t="s">
        <v>46</v>
      </c>
      <c r="CK17" s="4" t="s">
        <v>14</v>
      </c>
      <c r="CL17" s="4" t="s">
        <v>4</v>
      </c>
      <c r="CM17" t="s">
        <v>39</v>
      </c>
      <c r="CN17" t="s">
        <v>41</v>
      </c>
      <c r="CO17" t="s">
        <v>22</v>
      </c>
      <c r="CP17" t="s">
        <v>40</v>
      </c>
      <c r="CQ17" t="s">
        <v>42</v>
      </c>
      <c r="CR17" t="s">
        <v>19</v>
      </c>
      <c r="CS17" t="s">
        <v>43</v>
      </c>
      <c r="CT17" t="s">
        <v>46</v>
      </c>
      <c r="CU17" t="s">
        <v>14</v>
      </c>
      <c r="CV17" t="s">
        <v>4</v>
      </c>
      <c r="CW17" s="4" t="s">
        <v>39</v>
      </c>
      <c r="CX17" s="4" t="s">
        <v>41</v>
      </c>
      <c r="CY17" s="4" t="s">
        <v>22</v>
      </c>
      <c r="CZ17" s="4" t="s">
        <v>40</v>
      </c>
      <c r="DA17" s="4" t="s">
        <v>42</v>
      </c>
      <c r="DB17" s="4" t="s">
        <v>19</v>
      </c>
      <c r="DC17" s="4" t="s">
        <v>43</v>
      </c>
      <c r="DD17" s="4" t="s">
        <v>46</v>
      </c>
      <c r="DE17" s="4" t="s">
        <v>14</v>
      </c>
      <c r="DF17" s="4" t="s">
        <v>4</v>
      </c>
      <c r="DG17" s="4" t="s">
        <v>39</v>
      </c>
      <c r="DH17" s="4" t="s">
        <v>41</v>
      </c>
      <c r="DI17" s="4" t="s">
        <v>22</v>
      </c>
      <c r="DJ17" s="4" t="s">
        <v>40</v>
      </c>
      <c r="DK17" s="4" t="s">
        <v>42</v>
      </c>
      <c r="DL17" s="4" t="s">
        <v>19</v>
      </c>
      <c r="DM17" s="4" t="s">
        <v>43</v>
      </c>
      <c r="DN17" s="4" t="s">
        <v>46</v>
      </c>
      <c r="DO17" s="4" t="s">
        <v>14</v>
      </c>
      <c r="DP17" s="4" t="s">
        <v>4</v>
      </c>
    </row>
    <row r="18" spans="1:130" x14ac:dyDescent="0.35">
      <c r="A18">
        <f>Example!E11</f>
        <v>5654.7102446901481</v>
      </c>
      <c r="B18">
        <f>Example!F11</f>
        <v>98.730342840799736</v>
      </c>
      <c r="C18">
        <f>Example!I11</f>
        <v>307.34112834969784</v>
      </c>
      <c r="E18">
        <f>A18*0.0000630902</f>
        <v>0.35675680027955037</v>
      </c>
      <c r="F18">
        <f>B18*0.3048</f>
        <v>30.093008497875761</v>
      </c>
      <c r="G18">
        <f>+C18*0.7457</f>
        <v>229.1842794103697</v>
      </c>
      <c r="H18" s="2">
        <f>$D$14*E18*F18/G18</f>
        <v>0.45953865712587288</v>
      </c>
      <c r="BI18" s="4"/>
      <c r="BJ18" s="4"/>
      <c r="BK18" s="4"/>
      <c r="BL18" s="4"/>
      <c r="BM18" s="4"/>
      <c r="BN18" s="4"/>
      <c r="BO18" s="4"/>
      <c r="BP18" s="4"/>
      <c r="BQ18" s="4"/>
      <c r="BR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W18" s="4"/>
      <c r="CX18" s="4"/>
      <c r="CY18" s="4"/>
      <c r="CZ18" s="4"/>
      <c r="DA18" s="4"/>
      <c r="DB18" s="4"/>
      <c r="DC18" s="4"/>
      <c r="DD18" s="4"/>
      <c r="DE18" s="4"/>
      <c r="DF18" s="4"/>
    </row>
    <row r="19" spans="1:130" x14ac:dyDescent="0.35">
      <c r="A19">
        <f>Example!E12</f>
        <v>11309.420489380296</v>
      </c>
      <c r="B19">
        <f>Example!F12</f>
        <v>96.74978396989485</v>
      </c>
      <c r="C19">
        <f>Example!I12</f>
        <v>462.43795592825569</v>
      </c>
      <c r="E19">
        <f t="shared" ref="E19:E33" si="1">A19*0.0000630902</f>
        <v>0.71351360055910074</v>
      </c>
      <c r="F19">
        <f t="shared" ref="F19:F33" si="2">B19*0.3048</f>
        <v>29.48933415402395</v>
      </c>
      <c r="G19">
        <f t="shared" ref="G19:G33" si="3">+C19*0.7457</f>
        <v>344.83998373570029</v>
      </c>
      <c r="H19" s="2">
        <f t="shared" ref="H19:H33" si="4">$D$14*E19*F19/G19</f>
        <v>0.59857505466454786</v>
      </c>
      <c r="BI19" s="4"/>
      <c r="BJ19" s="4"/>
      <c r="BK19" s="4"/>
      <c r="BL19" s="4"/>
      <c r="BM19" s="4"/>
      <c r="BN19" s="4"/>
      <c r="BO19" s="4"/>
      <c r="BP19" s="4"/>
      <c r="BQ19" s="4"/>
      <c r="BR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W19" s="4"/>
      <c r="CX19" s="4"/>
      <c r="CY19" s="4"/>
      <c r="CZ19" s="4"/>
      <c r="DA19" s="4"/>
      <c r="DB19" s="4"/>
      <c r="DC19" s="4"/>
      <c r="DD19" s="4"/>
      <c r="DE19" s="4"/>
      <c r="DF19" s="4"/>
    </row>
    <row r="20" spans="1:130" x14ac:dyDescent="0.35">
      <c r="A20">
        <f>Example!E13</f>
        <v>16964.130734070444</v>
      </c>
      <c r="B20">
        <f>Example!F13</f>
        <v>95.441800963551216</v>
      </c>
      <c r="C20">
        <f>Example!I13</f>
        <v>604.01055093314972</v>
      </c>
      <c r="E20">
        <f t="shared" si="1"/>
        <v>1.070270400838651</v>
      </c>
      <c r="F20">
        <f t="shared" si="2"/>
        <v>29.090660933690412</v>
      </c>
      <c r="G20">
        <f t="shared" si="3"/>
        <v>450.41066783084977</v>
      </c>
      <c r="H20" s="2">
        <f t="shared" si="4"/>
        <v>0.67812138846159575</v>
      </c>
      <c r="BI20" s="4"/>
      <c r="BJ20" s="4"/>
      <c r="BK20" s="4"/>
      <c r="BL20" s="4"/>
      <c r="BM20" s="4"/>
      <c r="BN20" s="4"/>
      <c r="BO20" s="4"/>
      <c r="BP20" s="4"/>
      <c r="BQ20" s="4"/>
      <c r="BR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W20" s="4"/>
      <c r="CX20" s="4"/>
      <c r="CY20" s="4"/>
      <c r="CZ20" s="4"/>
      <c r="DA20" s="4"/>
      <c r="DB20" s="4"/>
      <c r="DC20" s="4"/>
      <c r="DD20" s="4"/>
      <c r="DE20" s="4"/>
      <c r="DF20" s="4"/>
    </row>
    <row r="21" spans="1:130" x14ac:dyDescent="0.35">
      <c r="A21">
        <f>Example!E14</f>
        <v>22618.840978760592</v>
      </c>
      <c r="B21">
        <f>Example!F14</f>
        <v>94.428852310217707</v>
      </c>
      <c r="C21">
        <f>Example!I14</f>
        <v>742.56129297706877</v>
      </c>
      <c r="E21">
        <f t="shared" si="1"/>
        <v>1.4270272011182015</v>
      </c>
      <c r="F21">
        <f t="shared" si="2"/>
        <v>28.78191418415436</v>
      </c>
      <c r="G21">
        <f t="shared" si="3"/>
        <v>553.72795617300017</v>
      </c>
      <c r="H21" s="2">
        <f t="shared" si="4"/>
        <v>0.72765326506415229</v>
      </c>
      <c r="BI21" s="4"/>
      <c r="BJ21" s="4"/>
      <c r="BK21" s="4"/>
      <c r="BL21" s="4"/>
      <c r="BM21" s="4"/>
      <c r="BN21" s="4"/>
      <c r="BO21" s="4"/>
      <c r="BP21" s="4"/>
      <c r="BQ21" s="4"/>
      <c r="BR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W21" s="4"/>
      <c r="CX21" s="4"/>
      <c r="CY21" s="4"/>
      <c r="CZ21" s="4"/>
      <c r="DA21" s="4"/>
      <c r="DB21" s="4"/>
      <c r="DC21" s="4"/>
      <c r="DD21" s="4"/>
      <c r="DE21" s="4"/>
      <c r="DF21" s="4"/>
    </row>
    <row r="22" spans="1:130" x14ac:dyDescent="0.35">
      <c r="A22">
        <f>Example!E15</f>
        <v>28273.551223450744</v>
      </c>
      <c r="B22">
        <f>Example!F15</f>
        <v>93.421816182173828</v>
      </c>
      <c r="C22">
        <f>Example!I15</f>
        <v>880.47614327842837</v>
      </c>
      <c r="E22">
        <f t="shared" si="1"/>
        <v>1.783784001397752</v>
      </c>
      <c r="F22">
        <f t="shared" si="2"/>
        <v>28.474969572326586</v>
      </c>
      <c r="G22">
        <f t="shared" si="3"/>
        <v>656.57106004272407</v>
      </c>
      <c r="H22" s="2">
        <f t="shared" si="4"/>
        <v>0.75891441898241574</v>
      </c>
      <c r="BI22" s="4"/>
      <c r="BJ22" s="4"/>
      <c r="BK22" s="4"/>
      <c r="BL22" s="4"/>
      <c r="BM22" s="4"/>
      <c r="BN22" s="4"/>
      <c r="BO22" s="4"/>
      <c r="BP22" s="4"/>
      <c r="BQ22" s="4"/>
      <c r="BR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W22" s="4"/>
      <c r="CX22" s="4"/>
      <c r="CY22" s="4"/>
      <c r="CZ22" s="4"/>
      <c r="DA22" s="4"/>
      <c r="DB22" s="4"/>
      <c r="DC22" s="4"/>
      <c r="DD22" s="4"/>
      <c r="DE22" s="4"/>
      <c r="DF22" s="4"/>
    </row>
    <row r="23" spans="1:130" x14ac:dyDescent="0.35">
      <c r="A23">
        <f>Example!E16</f>
        <v>33928.261468140889</v>
      </c>
      <c r="B23">
        <f>Example!F16</f>
        <v>92.206627360701376</v>
      </c>
      <c r="C23">
        <f>Example!I16</f>
        <v>1017.6862698846495</v>
      </c>
      <c r="E23">
        <f t="shared" si="1"/>
        <v>2.140540801677302</v>
      </c>
      <c r="F23">
        <f t="shared" si="2"/>
        <v>28.104580019541782</v>
      </c>
      <c r="G23">
        <f t="shared" si="3"/>
        <v>758.88865145298314</v>
      </c>
      <c r="H23" s="2">
        <f t="shared" si="4"/>
        <v>0.77766322013341282</v>
      </c>
      <c r="BI23" s="4"/>
      <c r="BJ23" s="4"/>
      <c r="BK23" s="4"/>
      <c r="BL23" s="4"/>
      <c r="BM23" s="4"/>
      <c r="BN23" s="4"/>
      <c r="BO23" s="4"/>
      <c r="BP23" s="4"/>
      <c r="BQ23" s="4"/>
      <c r="BR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W23" s="4"/>
      <c r="CX23" s="4"/>
      <c r="CY23" s="4"/>
      <c r="CZ23" s="4"/>
      <c r="DA23" s="4"/>
      <c r="DB23" s="4"/>
      <c r="DC23" s="4"/>
      <c r="DD23" s="4"/>
      <c r="DE23" s="4"/>
      <c r="DF23" s="4"/>
    </row>
    <row r="24" spans="1:130" x14ac:dyDescent="0.35">
      <c r="A24">
        <f>Example!E17</f>
        <v>39582.971712831044</v>
      </c>
      <c r="B24">
        <f>Example!F17</f>
        <v>90.64182212007951</v>
      </c>
      <c r="C24">
        <f>Example!I17</f>
        <v>1153.6432968793174</v>
      </c>
      <c r="E24">
        <f t="shared" si="1"/>
        <v>2.4972976019568529</v>
      </c>
      <c r="F24">
        <f t="shared" si="2"/>
        <v>27.627627382200235</v>
      </c>
      <c r="G24">
        <f t="shared" si="3"/>
        <v>860.27180648290698</v>
      </c>
      <c r="H24" s="2">
        <f t="shared" si="4"/>
        <v>0.78676894156816424</v>
      </c>
      <c r="BI24" s="4"/>
      <c r="BJ24" s="4"/>
      <c r="BK24" s="4"/>
      <c r="BL24" s="4"/>
      <c r="BM24" s="4"/>
      <c r="BN24" s="4"/>
      <c r="BO24" s="4"/>
      <c r="BP24" s="4"/>
      <c r="BQ24" s="4"/>
      <c r="BR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W24" s="4"/>
      <c r="CX24" s="4"/>
      <c r="CY24" s="4"/>
      <c r="CZ24" s="4"/>
      <c r="DA24" s="4"/>
      <c r="DB24" s="4"/>
      <c r="DC24" s="4"/>
      <c r="DD24" s="4"/>
      <c r="DE24" s="4"/>
      <c r="DF24" s="4"/>
    </row>
    <row r="25" spans="1:130" x14ac:dyDescent="0.35">
      <c r="A25">
        <f>Example!E18</f>
        <v>45237.681957521185</v>
      </c>
      <c r="B25">
        <f>Example!F18</f>
        <v>88.658673803197701</v>
      </c>
      <c r="C25" s="1">
        <f>Example!I18</f>
        <v>1288.4578516752977</v>
      </c>
      <c r="D25" s="1"/>
      <c r="E25">
        <f t="shared" si="1"/>
        <v>2.8540544022364029</v>
      </c>
      <c r="F25">
        <f t="shared" si="2"/>
        <v>27.023163775214659</v>
      </c>
      <c r="G25" s="1">
        <f t="shared" si="3"/>
        <v>960.80301999426945</v>
      </c>
      <c r="H25" s="3">
        <f>$D$14*E25*F25/G25</f>
        <v>0.78746831503811077</v>
      </c>
      <c r="I25" s="1"/>
      <c r="J25" s="1"/>
      <c r="K25" s="11">
        <f>$D$6*($D$12/(G25*$B$15))^0.5</f>
        <v>3.3810656187329045</v>
      </c>
      <c r="L25" s="6">
        <f>K25/$D$6</f>
        <v>0.96601874820940126</v>
      </c>
      <c r="M25" s="9">
        <f>$D$12*L25</f>
        <v>864.58677964741412</v>
      </c>
      <c r="N25" s="10">
        <f>E25/L25</f>
        <v>2.9544503225497829</v>
      </c>
      <c r="O25" s="9" cm="1">
        <f t="array" ref="O25">raninterp($E$18:$E$33,$G$18:$G$33,N25)</f>
        <v>989.08671672989954</v>
      </c>
      <c r="P25" s="9">
        <f>O25*L25^3*$B$15</f>
        <v>890.03810501619614</v>
      </c>
      <c r="Q25" s="18">
        <f>P25/M25</f>
        <v>1.0294375601939707</v>
      </c>
      <c r="R25" s="9" cm="1">
        <f t="array" ref="R25">raninterp($E$18:$E$33,$F$18:$F$33,N25)</f>
        <v>26.825779713108453</v>
      </c>
      <c r="S25" s="9">
        <f>R25*L25^2*$B$15</f>
        <v>24.988548478308555</v>
      </c>
      <c r="T25" s="3">
        <f>$D$14*N25*R25/O25</f>
        <v>0.78607445610130255</v>
      </c>
      <c r="U25" s="12">
        <f>K25*(M25/P25)^0.5</f>
        <v>3.332372904320255</v>
      </c>
      <c r="V25" s="13">
        <f>U25/$D$6</f>
        <v>0.95210654409150142</v>
      </c>
      <c r="W25" s="14">
        <f>$D$12*V25</f>
        <v>852.13535696189376</v>
      </c>
      <c r="X25" s="12">
        <f>$E25/V25</f>
        <v>2.9976208229507941</v>
      </c>
      <c r="Y25" s="14" cm="1">
        <f t="array" ref="Y25">raninterp($E$18:$E$33,$G$18:$G$33,X25)</f>
        <v>1001.2487780711996</v>
      </c>
      <c r="Z25" s="14">
        <f>Y25*V25^3*$B$15</f>
        <v>862.61342961939101</v>
      </c>
      <c r="AA25" s="15">
        <f>Z25/W25</f>
        <v>1.0122962538426461</v>
      </c>
      <c r="AB25" s="14" cm="1">
        <f t="array" ref="AB25">raninterp($E$18:$E$33,$F$18:$F$33,X25)</f>
        <v>26.74090406571451</v>
      </c>
      <c r="AC25" s="16">
        <f>AB25*V25^2*$B$15</f>
        <v>24.197179816489395</v>
      </c>
      <c r="AD25" s="5">
        <f>$D$14*X25*AB25/Y25</f>
        <v>0.78537991604057777</v>
      </c>
      <c r="AE25" s="7">
        <f>U25*(W25/Z25)^0.5</f>
        <v>3.3120720801511143</v>
      </c>
      <c r="AF25" s="6">
        <f>AE25/$D$6</f>
        <v>0.94630630861460407</v>
      </c>
      <c r="AG25" s="9">
        <f>$D$12*AF25</f>
        <v>846.9441462100707</v>
      </c>
      <c r="AH25" s="10">
        <f>$E25/AF25</f>
        <v>3.015994267664504</v>
      </c>
      <c r="AI25" s="9" cm="1">
        <f t="array" ref="AI25">raninterp($E$18:$E$33,$G$18:$G$33,AH25)</f>
        <v>1006.4249738433915</v>
      </c>
      <c r="AJ25" s="9">
        <f>AI25*AF25^3*$B$15</f>
        <v>851.3226271679606</v>
      </c>
      <c r="AK25" s="18">
        <f>AJ25/AG25</f>
        <v>1.0051697399143531</v>
      </c>
      <c r="AL25" s="8" cm="1">
        <f t="array" ref="AL25">raninterp($E$18:$E$33,$F$18:$F$33,AH25)</f>
        <v>26.704780833404314</v>
      </c>
      <c r="AM25" s="9">
        <f>AL25*AF25^2*$B$15</f>
        <v>23.87096930289313</v>
      </c>
      <c r="AN25" s="3">
        <f>$D$14*AH25*AL25/AI25</f>
        <v>0.78506774090381681</v>
      </c>
      <c r="AO25" s="12">
        <f>AE25*(AG25/AJ25)^0.5</f>
        <v>3.3035438568486928</v>
      </c>
      <c r="AP25" s="13">
        <f>AO25/$D$6</f>
        <v>0.94386967338534078</v>
      </c>
      <c r="AQ25" s="14">
        <f>$D$12*AP25</f>
        <v>844.76335767987996</v>
      </c>
      <c r="AR25" s="12">
        <f>$E25/AP25</f>
        <v>3.0237801708363787</v>
      </c>
      <c r="AS25" s="14" cm="1">
        <f t="array" ref="AS25">raninterp($E$18:$E$33,$G$18:$G$33,AR25)</f>
        <v>1008.6184307432227</v>
      </c>
      <c r="AT25" s="14">
        <f>AS25*AP25^3*$B$15</f>
        <v>846.60448052935715</v>
      </c>
      <c r="AU25" s="15">
        <f>AT25/AQ25</f>
        <v>1.0021794539651125</v>
      </c>
      <c r="AV25" s="14" cm="1">
        <f t="array" ref="AV25">raninterp($E$18:$E$33,$F$18:$F$33,AR25)</f>
        <v>26.689473307058293</v>
      </c>
      <c r="AW25" s="16">
        <f>AV25*AP25^2*$B$15</f>
        <v>23.734584525059898</v>
      </c>
      <c r="AX25" s="5">
        <f>$D$14*AR25*AV25/AS25</f>
        <v>0.78493252591714668</v>
      </c>
      <c r="AY25" s="7">
        <f>AO25*(AQ25/AT25)^0.5</f>
        <v>3.2999497697644991</v>
      </c>
      <c r="AZ25" s="6">
        <f>AY25/$D$6</f>
        <v>0.94284279136128546</v>
      </c>
      <c r="BA25" s="9">
        <f>$D$12*AZ25</f>
        <v>843.84429826835049</v>
      </c>
      <c r="BB25" s="10">
        <f>$E25/AZ25</f>
        <v>3.0270734722547878</v>
      </c>
      <c r="BC25" s="9" cm="1">
        <f t="array" ref="BC25">raninterp($E$18:$E$33,$G$18:$G$33,BB25)</f>
        <v>1009.5462248038434</v>
      </c>
      <c r="BD25" s="9">
        <f>BC25*AZ25^3*$B$15</f>
        <v>844.62052216448262</v>
      </c>
      <c r="BE25" s="18">
        <f>BD25/BA25</f>
        <v>1.000919866256992</v>
      </c>
      <c r="BF25" s="8" cm="1">
        <f t="array" ref="BF25">raninterp($E$18:$E$33,$F$18:$F$33,BB25)</f>
        <v>26.682998490056999</v>
      </c>
      <c r="BG25" s="9">
        <f>BF25*AZ25^2*$B$15</f>
        <v>23.677223140770455</v>
      </c>
      <c r="BH25" s="3">
        <f>$D$14*BB25*BF25/BC25</f>
        <v>0.78487481208660936</v>
      </c>
      <c r="BI25" s="12">
        <f>AY25*(BA25/BD25)^0.5</f>
        <v>3.2984330598405482</v>
      </c>
      <c r="BJ25" s="13">
        <f>BI25/$D$6</f>
        <v>0.94240944566872809</v>
      </c>
      <c r="BK25" s="14">
        <f>$D$12*BJ25</f>
        <v>843.45645387351169</v>
      </c>
      <c r="BL25" s="12">
        <f>$E25/BJ25</f>
        <v>3.0284654036029774</v>
      </c>
      <c r="BM25" s="14" cm="1">
        <f t="array" ref="BM25">raninterp($E$18:$E$33,$G$18:$G$33,BL25)</f>
        <v>1009.9383618947344</v>
      </c>
      <c r="BN25" s="14">
        <f>BM25*BJ25^3*$B$15</f>
        <v>843.78407687084325</v>
      </c>
      <c r="BO25" s="15">
        <f>BN25/BK25</f>
        <v>1.000388429059766</v>
      </c>
      <c r="BP25" s="14" cm="1">
        <f t="array" ref="BP25">raninterp($E$18:$E$33,$F$18:$F$33,BL25)</f>
        <v>26.680261874238138</v>
      </c>
      <c r="BQ25" s="16">
        <f>BP25*BJ25^2*$B$15</f>
        <v>23.653037167349943</v>
      </c>
      <c r="BR25" s="5">
        <f>$D$14*BL25*BP25/BM25</f>
        <v>0.78485032636675667</v>
      </c>
      <c r="BS25" s="7">
        <f>BI25*(BK25/BN25)^0.5</f>
        <v>3.2977926427758919</v>
      </c>
      <c r="BT25" s="6">
        <f>BS25/$D$6</f>
        <v>0.94222646936454058</v>
      </c>
      <c r="BU25" s="9">
        <f>$D$12*BT25</f>
        <v>843.2926900812638</v>
      </c>
      <c r="BV25" s="10">
        <f>$E25/BT25</f>
        <v>3.0290535184829221</v>
      </c>
      <c r="BW25" s="9" cm="1">
        <f t="array" ref="BW25">raninterp($E$18:$E$33,$G$18:$G$33,BV25)</f>
        <v>1010.1040465446499</v>
      </c>
      <c r="BX25" s="9">
        <f>BW25*BT25^3*$B$15</f>
        <v>843.43103580552213</v>
      </c>
      <c r="BY25" s="18">
        <f>BX25/BU25</f>
        <v>1.0001640542197099</v>
      </c>
      <c r="BZ25" s="8" cm="1">
        <f t="array" ref="BZ25">raninterp($E$18:$E$33,$F$18:$F$33,BV25)</f>
        <v>26.679105607094751</v>
      </c>
      <c r="CA25" s="9">
        <f>BZ25*BT25^2*$B$15</f>
        <v>23.642828532181831</v>
      </c>
      <c r="CB25" s="3">
        <f>$D$14*BV25*BZ25/BW25</f>
        <v>0.78483996420827828</v>
      </c>
      <c r="CC25" s="12">
        <f>BS25*(BU25/BX25)^0.5</f>
        <v>3.297522167655488</v>
      </c>
      <c r="CD25" s="13">
        <f>CC25/$D$6</f>
        <v>0.94214919075871084</v>
      </c>
      <c r="CE25" s="14">
        <f>$D$12*CD25</f>
        <v>843.22352572904617</v>
      </c>
      <c r="CF25" s="12">
        <f>$E25/CD25</f>
        <v>3.0293019727990624</v>
      </c>
      <c r="CG25" s="14" cm="1">
        <f t="array" ref="CG25">raninterp($E$18:$E$33,$G$18:$G$33,CF25)</f>
        <v>1010.1740414857634</v>
      </c>
      <c r="CH25" s="14">
        <f>CG25*CD25^3*$B$15</f>
        <v>843.28195672061656</v>
      </c>
      <c r="CI25" s="15">
        <f>CH25/CE25</f>
        <v>1.0000692947833967</v>
      </c>
      <c r="CJ25" s="14" cm="1">
        <f t="array" ref="CJ25">raninterp($E$18:$E$33,$F$18:$F$33,CF25)</f>
        <v>26.678617131845812</v>
      </c>
      <c r="CK25" s="16">
        <f>CJ25*CD25^2*$B$15</f>
        <v>23.638517650415672</v>
      </c>
      <c r="CL25" s="5">
        <f>$D$14*CF25*CJ25/CG25</f>
        <v>0.7848355836759715</v>
      </c>
      <c r="CM25" s="7">
        <f>CC25*(CE25/CH25)^0.5</f>
        <v>3.297407923050693</v>
      </c>
      <c r="CN25" s="6">
        <f>CM25/$D$6</f>
        <v>0.94211654944305512</v>
      </c>
      <c r="CO25" s="9">
        <f>$D$12*CN25</f>
        <v>843.19431175153431</v>
      </c>
      <c r="CP25" s="10">
        <f>$E25/CN25</f>
        <v>3.0294069283928997</v>
      </c>
      <c r="CQ25" s="9" cm="1">
        <f t="array" ref="CQ25">raninterp($E$18:$E$33,$G$18:$G$33,CP25)</f>
        <v>1010.2036097409031</v>
      </c>
      <c r="CR25" s="9">
        <f>CQ25*CN25^3*$B$15</f>
        <v>843.21899243379119</v>
      </c>
      <c r="CS25" s="18">
        <f>CR25/CO25</f>
        <v>1.0000292704563027</v>
      </c>
      <c r="CT25" s="8" cm="1">
        <f t="array" ref="CT25">raninterp($E$18:$E$33,$F$18:$F$33,CP25)</f>
        <v>26.678410783207461</v>
      </c>
      <c r="CU25" s="9">
        <f>CT25*CN25^2*$B$15</f>
        <v>23.636696915961267</v>
      </c>
      <c r="CV25" s="3">
        <f>$D$14*CP25*CT25/CQ25</f>
        <v>0.78483373266362899</v>
      </c>
      <c r="CW25" s="12">
        <f>CM25*(CO25/CR25)^0.5</f>
        <v>3.2973596657928121</v>
      </c>
      <c r="CX25" s="13">
        <f>CW25/$D$6</f>
        <v>0.94210276165508922</v>
      </c>
      <c r="CY25" s="14">
        <f>$D$12*CX25</f>
        <v>843.18197168130484</v>
      </c>
      <c r="CZ25" s="12">
        <f>$E25/CX25</f>
        <v>3.0294512641300306</v>
      </c>
      <c r="DA25" s="14" cm="1">
        <f t="array" ref="DA25">raninterp($E$18:$E$33,$G$18:$G$33,CZ25)</f>
        <v>1010.2161000745705</v>
      </c>
      <c r="DB25" s="14">
        <f>DA25*CX25^3*$B$15</f>
        <v>843.19239693030124</v>
      </c>
      <c r="DC25" s="15">
        <f>DB25/CY25</f>
        <v>1.0000123641744565</v>
      </c>
      <c r="DD25" s="14" cm="1">
        <f t="array" ref="DD25">raninterp($E$18:$E$33,$F$18:$F$33,CZ25)</f>
        <v>26.6783236166387</v>
      </c>
      <c r="DE25" s="16">
        <f>DD25*CX25^2*$B$15</f>
        <v>23.635927853213307</v>
      </c>
      <c r="DF25" s="5">
        <f>$D$14*CZ25*DD25/DA25</f>
        <v>0.78483295065821068</v>
      </c>
      <c r="DG25" s="7">
        <f>CW25*(CY25/DB25)^0.5</f>
        <v>3.2973392814167619</v>
      </c>
      <c r="DH25" s="6">
        <f>DG25/$D$6</f>
        <v>0.94209693754764623</v>
      </c>
      <c r="DI25" s="9">
        <f>$D$12*DH25</f>
        <v>843.17675910514333</v>
      </c>
      <c r="DJ25" s="10">
        <f>$E25/DH25</f>
        <v>3.0294699924041097</v>
      </c>
      <c r="DK25" s="9" cm="1">
        <f t="array" ref="DK25">raninterp($E$18:$E$33,$G$18:$G$33,DJ25)</f>
        <v>1010.2213762334301</v>
      </c>
      <c r="DL25" s="9">
        <f>DK25*DH25^3*$B$15</f>
        <v>843.18116285056692</v>
      </c>
      <c r="DM25" s="18">
        <f>DL25/DI25</f>
        <v>1.0000052228021894</v>
      </c>
      <c r="DN25" s="8" cm="1">
        <f t="array" ref="DN25">raninterp($E$18:$E$33,$F$18:$F$33,DJ25)</f>
        <v>26.678286795791774</v>
      </c>
      <c r="DO25" s="9">
        <f>DN25*DH25^2*$B$15</f>
        <v>23.635602996696562</v>
      </c>
      <c r="DP25" s="3">
        <f>$D$14*DJ25*DN25/DK25</f>
        <v>0.78483262030723633</v>
      </c>
      <c r="DQ25" s="12"/>
      <c r="DR25" s="13"/>
      <c r="DS25" s="14"/>
      <c r="DT25" s="12"/>
      <c r="DU25" s="14"/>
      <c r="DV25" s="14"/>
      <c r="DW25" s="15"/>
      <c r="DX25" s="16"/>
      <c r="DY25" s="16"/>
      <c r="DZ25" s="5"/>
    </row>
    <row r="26" spans="1:130" x14ac:dyDescent="0.35">
      <c r="A26">
        <f>Example!E19</f>
        <v>48065.03707986627</v>
      </c>
      <c r="B26">
        <f>Example!F19</f>
        <v>87.508076586879881</v>
      </c>
      <c r="C26" s="1">
        <f>Example!I19</f>
        <v>1355.8482817801487</v>
      </c>
      <c r="D26" s="1"/>
      <c r="E26">
        <f t="shared" si="1"/>
        <v>3.0324328023761788</v>
      </c>
      <c r="F26">
        <f t="shared" si="2"/>
        <v>26.672461743680987</v>
      </c>
      <c r="G26" s="1">
        <f t="shared" si="3"/>
        <v>1011.0560637234569</v>
      </c>
      <c r="H26" s="2">
        <f t="shared" si="4"/>
        <v>0.78478023374026218</v>
      </c>
      <c r="I26" s="1"/>
      <c r="J26" s="1"/>
      <c r="K26" s="11">
        <f>$D$6*($D$12/(G26*$B$15))^0.5</f>
        <v>3.2959693175179652</v>
      </c>
      <c r="L26" s="6">
        <f>K26/$D$6</f>
        <v>0.94170551929084723</v>
      </c>
      <c r="M26" s="9">
        <f>$D$12*L26</f>
        <v>842.82643976530824</v>
      </c>
      <c r="N26" s="10">
        <f>E26/L26</f>
        <v>3.2201497604683862</v>
      </c>
      <c r="O26" s="9" cm="1">
        <f t="array" ref="O26">raninterp($E$18:$E$33,$G$18:$G$33,N26)</f>
        <v>1064.349517492599</v>
      </c>
      <c r="P26" s="9">
        <f>O26*L26^3*$B$15</f>
        <v>887.25239547109288</v>
      </c>
      <c r="Q26" s="18">
        <f>P26/M26</f>
        <v>1.0527106811197753</v>
      </c>
      <c r="R26" s="9" cm="1">
        <f t="array" ref="R26">raninterp($E$18:$E$33,$F$18:$F$33,N26)</f>
        <v>26.269614412734196</v>
      </c>
      <c r="S26" s="9">
        <f>R26*L26^2*$B$15</f>
        <v>23.254204927876181</v>
      </c>
      <c r="T26" s="3">
        <f>$D$14*N26*R26/O26</f>
        <v>0.77967661408484112</v>
      </c>
      <c r="U26" s="12">
        <f>K26*(M26/P26)^0.5</f>
        <v>3.2123928117885243</v>
      </c>
      <c r="V26" s="13">
        <f>U26/$D$6</f>
        <v>0.91782651765386414</v>
      </c>
      <c r="W26" s="14">
        <f>$D$12*V26</f>
        <v>821.45473330020843</v>
      </c>
      <c r="X26" s="12">
        <f>$E26/V26</f>
        <v>3.3039280779636253</v>
      </c>
      <c r="Y26" s="14" cm="1">
        <f t="array" ref="Y26">raninterp($E$18:$E$33,$G$18:$G$33,X26)</f>
        <v>1088.7057940539632</v>
      </c>
      <c r="Z26" s="14">
        <f>Y26*V26^3*$B$15</f>
        <v>840.25267358023552</v>
      </c>
      <c r="AA26" s="15">
        <f>Z26/W26</f>
        <v>1.0228837202075713</v>
      </c>
      <c r="AB26" s="14" cm="1">
        <f t="array" ref="AB26">raninterp($E$18:$E$33,$F$18:$F$33,X26)</f>
        <v>26.072488886228832</v>
      </c>
      <c r="AC26" s="16">
        <f>AB26*V26^2*$B$15</f>
        <v>21.924073971628463</v>
      </c>
      <c r="AD26" s="5">
        <f>$D$14*X26*AB26/Y26</f>
        <v>0.776196265523309</v>
      </c>
      <c r="AE26" s="7">
        <f>U26*(W26/Z26)^0.5</f>
        <v>3.1762561000600553</v>
      </c>
      <c r="AF26" s="6">
        <f>AE26/$D$6</f>
        <v>0.90750174287430152</v>
      </c>
      <c r="AG26" s="9">
        <f>$D$12*AF26</f>
        <v>812.21405987249989</v>
      </c>
      <c r="AH26" s="10">
        <f>$E26/AF26</f>
        <v>3.3415173317151443</v>
      </c>
      <c r="AI26" s="9" cm="1">
        <f t="array" ref="AI26">raninterp($E$18:$E$33,$G$18:$G$33,AH26)</f>
        <v>1099.63385142584</v>
      </c>
      <c r="AJ26" s="9">
        <f>AI26*AF26^3*$B$15</f>
        <v>820.36678753594026</v>
      </c>
      <c r="AK26" s="18">
        <f>AJ26/AG26</f>
        <v>1.010037658871259</v>
      </c>
      <c r="AL26" s="8" cm="1">
        <f t="array" ref="AL26">raninterp($E$18:$E$33,$F$18:$F$33,AH26)</f>
        <v>25.984043550272631</v>
      </c>
      <c r="AM26" s="9">
        <f>AL26*AF26^2*$B$15</f>
        <v>21.360884735349632</v>
      </c>
      <c r="AN26" s="3">
        <f>$D$14*AH26*AL26/AI26</f>
        <v>0.77458906212535061</v>
      </c>
      <c r="AO26" s="12">
        <f>AE26*(AG26/AJ26)^0.5</f>
        <v>3.160434025751151</v>
      </c>
      <c r="AP26" s="13">
        <f>AO26/$D$6</f>
        <v>0.90298115021461456</v>
      </c>
      <c r="AQ26" s="14">
        <f>$D$12*AP26</f>
        <v>808.16812944208004</v>
      </c>
      <c r="AR26" s="12">
        <f>$E26/AP26</f>
        <v>3.3582459630031596</v>
      </c>
      <c r="AS26" s="14" cm="1">
        <f t="array" ref="AS26">raninterp($E$18:$E$33,$G$18:$G$33,AR26)</f>
        <v>1104.4972478549596</v>
      </c>
      <c r="AT26" s="14">
        <f>AS26*AP26^3*$B$15</f>
        <v>811.74244828444796</v>
      </c>
      <c r="AU26" s="15">
        <f>AT26/AQ26</f>
        <v>1.0044227416451519</v>
      </c>
      <c r="AV26" s="14" cm="1">
        <f t="array" ref="AV26">raninterp($E$18:$E$33,$F$18:$F$33,AR26)</f>
        <v>25.944682050197727</v>
      </c>
      <c r="AW26" s="16">
        <f>AV26*AP26^2*$B$15</f>
        <v>21.116565668488768</v>
      </c>
      <c r="AX26" s="5">
        <f>$D$14*AR26*AV26/AS26</f>
        <v>0.77386503290163178</v>
      </c>
      <c r="AY26" s="7">
        <f>AO26*(AQ26/AT26)^0.5</f>
        <v>3.1534682315936791</v>
      </c>
      <c r="AZ26" s="6">
        <f>AY26/$D$6</f>
        <v>0.90099092331247976</v>
      </c>
      <c r="BA26" s="9">
        <f>$D$12*AZ26</f>
        <v>806.38687636466943</v>
      </c>
      <c r="BB26" s="10">
        <f>$E26/AZ26</f>
        <v>3.3656640970671319</v>
      </c>
      <c r="BC26" s="9" cm="1">
        <f t="array" ref="BC26">raninterp($E$18:$E$33,$G$18:$G$33,BB26)</f>
        <v>1106.653869403747</v>
      </c>
      <c r="BD26" s="9">
        <f>BC26*AZ26^3*$B$15</f>
        <v>807.96141294011568</v>
      </c>
      <c r="BE26" s="18">
        <f>BD26/BA26</f>
        <v>1.0019525820937767</v>
      </c>
      <c r="BF26" s="8" cm="1">
        <f t="array" ref="BF26">raninterp($E$18:$E$33,$F$18:$F$33,BB26)</f>
        <v>25.927227610591309</v>
      </c>
      <c r="BG26" s="9">
        <f>BF26*AZ26^2*$B$15</f>
        <v>21.009440047537755</v>
      </c>
      <c r="BH26" s="3">
        <f>$D$14*BB26*BF26/BC26</f>
        <v>0.77354227034487177</v>
      </c>
      <c r="BI26" s="12">
        <f>AY26*(BA26/BD26)^0.5</f>
        <v>3.1503940300338908</v>
      </c>
      <c r="BJ26" s="13">
        <f>BI26/$D$6</f>
        <v>0.90011258000968308</v>
      </c>
      <c r="BK26" s="14">
        <f>$D$12*BJ26</f>
        <v>805.60075910866635</v>
      </c>
      <c r="BL26" s="12">
        <f>$E26/BJ26</f>
        <v>3.3689483623743568</v>
      </c>
      <c r="BM26" s="14" cm="1">
        <f t="array" ref="BM26">raninterp($E$18:$E$33,$G$18:$G$33,BL26)</f>
        <v>1107.6086805830025</v>
      </c>
      <c r="BN26" s="14">
        <f>BM26*BJ26^3*$B$15</f>
        <v>806.29582432470181</v>
      </c>
      <c r="BO26" s="15">
        <f>BN26/BK26</f>
        <v>1.0008627911632115</v>
      </c>
      <c r="BP26" s="14" cm="1">
        <f t="array" ref="BP26">raninterp($E$18:$E$33,$F$18:$F$33,BL26)</f>
        <v>25.919499924631193</v>
      </c>
      <c r="BQ26" s="16">
        <f>BP26*BJ26^2*$B$15</f>
        <v>20.962247613197903</v>
      </c>
      <c r="BR26" s="5">
        <f>$D$14*BL26*BP26/BM26</f>
        <v>0.77339904107550728</v>
      </c>
      <c r="BS26" s="7">
        <f>BI26*(BK26/BN26)^0.5</f>
        <v>3.1490358427798246</v>
      </c>
      <c r="BT26" s="6">
        <f>BS26/$D$6</f>
        <v>0.89972452650852131</v>
      </c>
      <c r="BU26" s="9">
        <f>$D$12*BT26</f>
        <v>805.25345122512658</v>
      </c>
      <c r="BV26" s="10">
        <f>$E26/BT26</f>
        <v>3.3704013984634424</v>
      </c>
      <c r="BW26" s="9" cm="1">
        <f t="array" ref="BW26">raninterp($E$18:$E$33,$G$18:$G$33,BV26)</f>
        <v>1108.0311114684332</v>
      </c>
      <c r="BX26" s="9">
        <f>BW26*BT26^3*$B$15</f>
        <v>805.56056684669988</v>
      </c>
      <c r="BY26" s="18">
        <f>BX26/BU26</f>
        <v>1.0003813900096994</v>
      </c>
      <c r="BZ26" s="8" cm="1">
        <f t="array" ref="BZ26">raninterp($E$18:$E$33,$F$18:$F$33,BV26)</f>
        <v>25.916081014910208</v>
      </c>
      <c r="CA26" s="9">
        <f>BZ26*BT26^2*$B$15</f>
        <v>20.941414522081697</v>
      </c>
      <c r="CB26" s="3">
        <f>$D$14*BV26*BZ26/BW26</f>
        <v>0.77333560845213556</v>
      </c>
      <c r="CC26" s="12">
        <f>BS26*(BU26/BX26)^0.5</f>
        <v>3.1484355090900107</v>
      </c>
      <c r="CD26" s="13">
        <f>CC26/$D$6</f>
        <v>0.89955300259714588</v>
      </c>
      <c r="CE26" s="14">
        <f>$D$12*CD26</f>
        <v>805.09993732444559</v>
      </c>
      <c r="CF26" s="12">
        <f>$E26/CD26</f>
        <v>3.3710440559045276</v>
      </c>
      <c r="CG26" s="14" cm="1">
        <f t="array" ref="CG26">raninterp($E$18:$E$33,$G$18:$G$33,CF26)</f>
        <v>1108.2179467121725</v>
      </c>
      <c r="CH26" s="14">
        <f>CG26*CD26^3*$B$15</f>
        <v>805.23569257668305</v>
      </c>
      <c r="CI26" s="15">
        <f>CH26/CE26</f>
        <v>1.0001686191315435</v>
      </c>
      <c r="CJ26" s="14" cm="1">
        <f t="array" ref="CJ26">raninterp($E$18:$E$33,$F$18:$F$33,CF26)</f>
        <v>25.914568879190323</v>
      </c>
      <c r="CK26" s="16">
        <f>CJ26*CD26^2*$B$15</f>
        <v>20.932209309662603</v>
      </c>
      <c r="CL26" s="5">
        <f>$D$14*CF26*CJ26/CG26</f>
        <v>0.77330754046642391</v>
      </c>
      <c r="CM26" s="7">
        <f>CC26*(CE26/CH26)^0.5</f>
        <v>3.1481700994237678</v>
      </c>
      <c r="CN26" s="6">
        <f>CM26/$D$6</f>
        <v>0.89947717126393367</v>
      </c>
      <c r="CO26" s="9">
        <f>$D$12*CN26</f>
        <v>805.03206828122063</v>
      </c>
      <c r="CP26" s="10">
        <f>$E26/CN26</f>
        <v>3.3713282551852246</v>
      </c>
      <c r="CQ26" s="9" cm="1">
        <f t="array" ref="CQ26">raninterp($E$18:$E$33,$G$18:$G$33,CP26)</f>
        <v>1108.3005699551086</v>
      </c>
      <c r="CR26" s="9">
        <f>CQ26*CN26^3*$B$15</f>
        <v>805.09208748623939</v>
      </c>
      <c r="CS26" s="18">
        <f>CR26/CO26</f>
        <v>1.0000745550486541</v>
      </c>
      <c r="CT26" s="8" cm="1">
        <f t="array" ref="CT26">raninterp($E$18:$E$33,$F$18:$F$33,CP26)</f>
        <v>25.913900174750861</v>
      </c>
      <c r="CU26" s="9">
        <f>CT26*CN26^2*$B$15</f>
        <v>20.928140286132471</v>
      </c>
      <c r="CV26" s="3">
        <f>$D$14*CP26*CT26/CQ26</f>
        <v>0.7732951256291043</v>
      </c>
      <c r="CW26" s="25">
        <f>CM26*(CO26/CR26)^0.5</f>
        <v>3.1480527499980044</v>
      </c>
      <c r="CX26" s="26">
        <f>CW26/$D$6</f>
        <v>0.89944364285657274</v>
      </c>
      <c r="CY26" s="27">
        <f>$D$12*CX26</f>
        <v>805.00206035663257</v>
      </c>
      <c r="CZ26" s="25">
        <f>$E26/CX26</f>
        <v>3.3714539276139366</v>
      </c>
      <c r="DA26" s="27" cm="1">
        <f t="array" ref="DA26">raninterp($E$18:$E$33,$G$18:$G$33,CZ26)</f>
        <v>1108.3371058097471</v>
      </c>
      <c r="DB26" s="27">
        <f>DA26*CX26^3*$B$15</f>
        <v>805.02859777712877</v>
      </c>
      <c r="DC26" s="28">
        <f>DB26/CY26</f>
        <v>1.0000329656553728</v>
      </c>
      <c r="DD26" s="27" cm="1">
        <f t="array" ref="DD26">raninterp($E$18:$E$33,$F$18:$F$33,CZ26)</f>
        <v>25.913604474808228</v>
      </c>
      <c r="DE26" s="29">
        <f>DD26*CX26^2*$B$15</f>
        <v>20.92634131361385</v>
      </c>
      <c r="DF26" s="30">
        <f>$D$14*CZ26*DD26/DA26</f>
        <v>0.77328963532706119</v>
      </c>
      <c r="DG26" s="7">
        <f>CW26*(CY26/DB26)^0.5</f>
        <v>3.1480008624698543</v>
      </c>
      <c r="DH26" s="6">
        <f>DG26/$D$6</f>
        <v>0.89942881784852979</v>
      </c>
      <c r="DI26" s="9">
        <f>$D$12*DH26</f>
        <v>804.98879197443421</v>
      </c>
      <c r="DJ26" s="10">
        <f>$E26/DH26</f>
        <v>3.3715094982501017</v>
      </c>
      <c r="DK26" s="9" cm="1">
        <f t="array" ref="DK26">raninterp($E$18:$E$33,$G$18:$G$33,DJ26)</f>
        <v>1108.3532614670053</v>
      </c>
      <c r="DL26" s="9">
        <f>DK26*DH26^3*$B$15</f>
        <v>805.00052588007645</v>
      </c>
      <c r="DM26" s="18">
        <f>DL26/DI26</f>
        <v>1.0000145764832495</v>
      </c>
      <c r="DN26" s="8" cm="1">
        <f t="array" ref="DN26">raninterp($E$18:$E$33,$F$18:$F$33,DJ26)</f>
        <v>25.913473720321388</v>
      </c>
      <c r="DO26" s="9">
        <f>DN26*DH26^2*$B$15</f>
        <v>20.925545899451983</v>
      </c>
      <c r="DP26" s="3">
        <f>$D$14*DJ26*DN26/DK26</f>
        <v>0.77328720749594482</v>
      </c>
      <c r="DQ26" s="12"/>
      <c r="DR26" s="13"/>
      <c r="DS26" s="14"/>
      <c r="DT26" s="12"/>
      <c r="DU26" s="14"/>
      <c r="DV26" s="14"/>
      <c r="DW26" s="15"/>
      <c r="DX26" s="16"/>
      <c r="DY26" s="16"/>
      <c r="DZ26" s="5"/>
    </row>
    <row r="27" spans="1:130" x14ac:dyDescent="0.35">
      <c r="A27">
        <f>Example!E20</f>
        <v>50892.392202211333</v>
      </c>
      <c r="B27">
        <f>Example!F20</f>
        <v>86.258489168210616</v>
      </c>
      <c r="C27" s="1">
        <f>Example!I20</f>
        <v>1423.6751840090528</v>
      </c>
      <c r="D27" s="1"/>
      <c r="E27">
        <f t="shared" si="1"/>
        <v>3.210811202515953</v>
      </c>
      <c r="F27">
        <f t="shared" si="2"/>
        <v>26.291587498470598</v>
      </c>
      <c r="G27" s="1">
        <f t="shared" si="3"/>
        <v>1061.6345847155508</v>
      </c>
      <c r="H27" s="2">
        <f t="shared" si="4"/>
        <v>0.78005554561354151</v>
      </c>
      <c r="I27" s="1"/>
      <c r="J27" s="1"/>
    </row>
    <row r="28" spans="1:130" x14ac:dyDescent="0.35">
      <c r="A28">
        <f>Example!E21</f>
        <v>56547.102446901488</v>
      </c>
      <c r="B28">
        <f>Example!F21</f>
        <v>83.504460038706398</v>
      </c>
      <c r="C28" s="1">
        <f>Example!I21</f>
        <v>1562.762452931054</v>
      </c>
      <c r="D28" s="1"/>
      <c r="E28">
        <f t="shared" si="1"/>
        <v>3.5675680027955039</v>
      </c>
      <c r="F28">
        <f t="shared" si="2"/>
        <v>25.452159419797713</v>
      </c>
      <c r="G28" s="1">
        <f t="shared" si="3"/>
        <v>1165.351961150687</v>
      </c>
      <c r="H28" s="2">
        <f t="shared" si="4"/>
        <v>0.76437907719098108</v>
      </c>
      <c r="I28" s="1"/>
      <c r="J28" s="1"/>
    </row>
    <row r="29" spans="1:130" x14ac:dyDescent="0.35">
      <c r="A29">
        <f>Example!E22</f>
        <v>62201.812691591629</v>
      </c>
      <c r="B29">
        <f>Example!F22</f>
        <v>80.508271116626759</v>
      </c>
      <c r="C29" s="1">
        <f>Example!I22</f>
        <v>1711.310231586099</v>
      </c>
      <c r="D29" s="1"/>
      <c r="E29">
        <f t="shared" si="1"/>
        <v>3.9243248030750539</v>
      </c>
      <c r="F29">
        <f t="shared" si="2"/>
        <v>24.538921036347837</v>
      </c>
      <c r="G29" s="1">
        <f t="shared" si="3"/>
        <v>1276.1240396937542</v>
      </c>
      <c r="H29" s="2">
        <f t="shared" si="4"/>
        <v>0.74028086841387031</v>
      </c>
      <c r="I29" s="1"/>
      <c r="J29" s="1"/>
    </row>
    <row r="30" spans="1:130" x14ac:dyDescent="0.35">
      <c r="A30">
        <f>Example!E23</f>
        <v>67856.522936281777</v>
      </c>
      <c r="B30">
        <f>Example!F23</f>
        <v>77.413873492080967</v>
      </c>
      <c r="C30" s="1">
        <f>Example!I23</f>
        <v>1876.9373791021383</v>
      </c>
      <c r="D30" s="1"/>
      <c r="E30">
        <f t="shared" si="1"/>
        <v>4.281081603354604</v>
      </c>
      <c r="F30">
        <f t="shared" si="2"/>
        <v>23.59574864038628</v>
      </c>
      <c r="G30" s="1">
        <f t="shared" si="3"/>
        <v>1399.6322035964645</v>
      </c>
      <c r="H30" s="2">
        <f t="shared" si="4"/>
        <v>0.70801481977971847</v>
      </c>
      <c r="I30" s="1"/>
      <c r="J30" s="1"/>
    </row>
    <row r="31" spans="1:130" x14ac:dyDescent="0.35">
      <c r="A31">
        <f>Example!E24</f>
        <v>73511.233180971933</v>
      </c>
      <c r="B31">
        <f>Example!F24</f>
        <v>74.381899635597804</v>
      </c>
      <c r="C31" s="1">
        <f>Example!I24</f>
        <v>2068.8337036938615</v>
      </c>
      <c r="D31" s="1"/>
      <c r="E31">
        <f t="shared" si="1"/>
        <v>4.6378384036341549</v>
      </c>
      <c r="F31">
        <f t="shared" si="2"/>
        <v>22.671603008930212</v>
      </c>
      <c r="G31" s="1">
        <f t="shared" si="3"/>
        <v>1542.7292928445127</v>
      </c>
      <c r="H31" s="2">
        <f t="shared" si="4"/>
        <v>0.66861654986499208</v>
      </c>
      <c r="I31" s="1"/>
      <c r="J31" s="1"/>
    </row>
    <row r="32" spans="1:130" x14ac:dyDescent="0.35">
      <c r="A32">
        <f>Example!E25</f>
        <v>79165.943425662088</v>
      </c>
      <c r="B32">
        <f>Example!F25</f>
        <v>71.578055716013992</v>
      </c>
      <c r="C32" s="1">
        <f>Example!I25</f>
        <v>2296.7360834443562</v>
      </c>
      <c r="D32" s="1"/>
      <c r="E32">
        <f t="shared" si="1"/>
        <v>4.9945952039137058</v>
      </c>
      <c r="F32">
        <f t="shared" si="2"/>
        <v>21.816991382241067</v>
      </c>
      <c r="G32" s="1">
        <f t="shared" si="3"/>
        <v>1712.6760974244564</v>
      </c>
      <c r="H32" s="2">
        <f t="shared" si="4"/>
        <v>0.62414993069857538</v>
      </c>
      <c r="I32" s="1"/>
      <c r="J32" s="1"/>
    </row>
    <row r="33" spans="1:10" x14ac:dyDescent="0.35">
      <c r="A33">
        <f>Example!E26</f>
        <v>84820.653670352214</v>
      </c>
      <c r="B33">
        <f>Example!F26</f>
        <v>69.167952863679503</v>
      </c>
      <c r="C33" s="1">
        <f>Example!I26</f>
        <v>2568.9566702822544</v>
      </c>
      <c r="D33" s="1"/>
      <c r="E33">
        <f t="shared" si="1"/>
        <v>5.351352004193255</v>
      </c>
      <c r="F33">
        <f t="shared" si="2"/>
        <v>21.082392032849512</v>
      </c>
      <c r="G33" s="1">
        <f t="shared" si="3"/>
        <v>1915.6709890294771</v>
      </c>
      <c r="H33" s="2">
        <f t="shared" si="4"/>
        <v>0.57773873893628591</v>
      </c>
      <c r="I33" s="1"/>
      <c r="J33" s="1"/>
    </row>
    <row r="37" spans="1:10" x14ac:dyDescent="0.35">
      <c r="F37" t="str">
        <f t="shared" ref="F37:F52" si="5">TEXT(E18,"0.000")&amp;": "&amp;TEXT(F18,"0.0000")&amp;","</f>
        <v>0.357: 30.0930,</v>
      </c>
      <c r="G37" t="str">
        <f t="shared" ref="G37:G52" si="6">TEXT(E18,"0.000")&amp;": "&amp;TEXT(G18,"0.0000")&amp;","</f>
        <v>0.357: 229.1843,</v>
      </c>
    </row>
    <row r="38" spans="1:10" x14ac:dyDescent="0.35">
      <c r="F38" t="str">
        <f t="shared" si="5"/>
        <v>0.714: 29.4893,</v>
      </c>
      <c r="G38" t="str">
        <f t="shared" si="6"/>
        <v>0.714: 344.8400,</v>
      </c>
    </row>
    <row r="39" spans="1:10" x14ac:dyDescent="0.35">
      <c r="F39" t="str">
        <f t="shared" si="5"/>
        <v>1.070: 29.0907,</v>
      </c>
      <c r="G39" t="str">
        <f t="shared" si="6"/>
        <v>1.070: 450.4107,</v>
      </c>
    </row>
    <row r="40" spans="1:10" x14ac:dyDescent="0.35">
      <c r="F40" t="str">
        <f t="shared" si="5"/>
        <v>1.427: 28.7819,</v>
      </c>
      <c r="G40" t="str">
        <f t="shared" si="6"/>
        <v>1.427: 553.7280,</v>
      </c>
    </row>
    <row r="41" spans="1:10" x14ac:dyDescent="0.35">
      <c r="F41" t="str">
        <f t="shared" si="5"/>
        <v>1.784: 28.4750,</v>
      </c>
      <c r="G41" t="str">
        <f t="shared" si="6"/>
        <v>1.784: 656.5711,</v>
      </c>
    </row>
    <row r="42" spans="1:10" x14ac:dyDescent="0.35">
      <c r="F42" t="str">
        <f t="shared" si="5"/>
        <v>2.141: 28.1046,</v>
      </c>
      <c r="G42" t="str">
        <f t="shared" si="6"/>
        <v>2.141: 758.8887,</v>
      </c>
    </row>
    <row r="43" spans="1:10" x14ac:dyDescent="0.35">
      <c r="F43" t="str">
        <f t="shared" si="5"/>
        <v>2.497: 27.6276,</v>
      </c>
      <c r="G43" t="str">
        <f t="shared" si="6"/>
        <v>2.497: 860.2718,</v>
      </c>
    </row>
    <row r="44" spans="1:10" x14ac:dyDescent="0.35">
      <c r="F44" t="str">
        <f t="shared" si="5"/>
        <v>2.854: 27.0232,</v>
      </c>
      <c r="G44" t="str">
        <f t="shared" si="6"/>
        <v>2.854: 960.8030,</v>
      </c>
    </row>
    <row r="45" spans="1:10" x14ac:dyDescent="0.35">
      <c r="F45" t="str">
        <f t="shared" si="5"/>
        <v>3.032: 26.6725,</v>
      </c>
      <c r="G45" t="str">
        <f t="shared" si="6"/>
        <v>3.032: 1011.0561,</v>
      </c>
    </row>
    <row r="46" spans="1:10" x14ac:dyDescent="0.35">
      <c r="F46" t="str">
        <f t="shared" si="5"/>
        <v>3.211: 26.2916,</v>
      </c>
      <c r="G46" t="str">
        <f t="shared" si="6"/>
        <v>3.211: 1061.6346,</v>
      </c>
    </row>
    <row r="47" spans="1:10" x14ac:dyDescent="0.35">
      <c r="F47" t="str">
        <f t="shared" si="5"/>
        <v>3.568: 25.4522,</v>
      </c>
      <c r="G47" t="str">
        <f t="shared" si="6"/>
        <v>3.568: 1165.3520,</v>
      </c>
    </row>
    <row r="48" spans="1:10" x14ac:dyDescent="0.35">
      <c r="F48" t="str">
        <f t="shared" si="5"/>
        <v>3.924: 24.5389,</v>
      </c>
      <c r="G48" t="str">
        <f t="shared" si="6"/>
        <v>3.924: 1276.1240,</v>
      </c>
    </row>
    <row r="49" spans="6:7" x14ac:dyDescent="0.35">
      <c r="F49" t="str">
        <f t="shared" si="5"/>
        <v>4.281: 23.5957,</v>
      </c>
      <c r="G49" t="str">
        <f t="shared" si="6"/>
        <v>4.281: 1399.6322,</v>
      </c>
    </row>
    <row r="50" spans="6:7" x14ac:dyDescent="0.35">
      <c r="F50" t="str">
        <f t="shared" si="5"/>
        <v>4.638: 22.6716,</v>
      </c>
      <c r="G50" t="str">
        <f t="shared" si="6"/>
        <v>4.638: 1542.7293,</v>
      </c>
    </row>
    <row r="51" spans="6:7" x14ac:dyDescent="0.35">
      <c r="F51" t="str">
        <f t="shared" si="5"/>
        <v>4.995: 21.8170,</v>
      </c>
      <c r="G51" t="str">
        <f t="shared" si="6"/>
        <v>4.995: 1712.6761,</v>
      </c>
    </row>
    <row r="52" spans="6:7" x14ac:dyDescent="0.35">
      <c r="F52" t="str">
        <f t="shared" si="5"/>
        <v>5.351: 21.0824,</v>
      </c>
      <c r="G52" t="str">
        <f t="shared" si="6"/>
        <v>5.351: 1915.6710,</v>
      </c>
    </row>
  </sheetData>
  <conditionalFormatting sqref="DW25">
    <cfRule type="cellIs" dxfId="121" priority="62" operator="between">
      <formula>0.9995</formula>
      <formula>1.0005</formula>
    </cfRule>
  </conditionalFormatting>
  <conditionalFormatting sqref="DW26">
    <cfRule type="cellIs" dxfId="120" priority="61" operator="between">
      <formula>0.99995</formula>
      <formula>1.00005</formula>
    </cfRule>
  </conditionalFormatting>
  <conditionalFormatting sqref="Q25">
    <cfRule type="cellIs" dxfId="43" priority="43" operator="between">
      <formula>0.99995</formula>
      <formula>1.00005</formula>
    </cfRule>
    <cfRule type="cellIs" dxfId="42" priority="44" operator="between">
      <formula>0.9995</formula>
      <formula>1.0005</formula>
    </cfRule>
  </conditionalFormatting>
  <conditionalFormatting sqref="Q26">
    <cfRule type="cellIs" dxfId="41" priority="41" operator="between">
      <formula>0.99995</formula>
      <formula>1.00005</formula>
    </cfRule>
    <cfRule type="cellIs" dxfId="40" priority="42" operator="between">
      <formula>0.9995</formula>
      <formula>1.0005</formula>
    </cfRule>
  </conditionalFormatting>
  <conditionalFormatting sqref="AA25">
    <cfRule type="cellIs" dxfId="39" priority="39" operator="between">
      <formula>0.99995</formula>
      <formula>1.00005</formula>
    </cfRule>
    <cfRule type="cellIs" dxfId="38" priority="40" operator="between">
      <formula>0.9995</formula>
      <formula>1.0005</formula>
    </cfRule>
  </conditionalFormatting>
  <conditionalFormatting sqref="AA26">
    <cfRule type="cellIs" dxfId="37" priority="37" operator="between">
      <formula>0.99995</formula>
      <formula>1.00005</formula>
    </cfRule>
    <cfRule type="cellIs" dxfId="36" priority="38" operator="between">
      <formula>0.9995</formula>
      <formula>1.0005</formula>
    </cfRule>
  </conditionalFormatting>
  <conditionalFormatting sqref="AK25">
    <cfRule type="cellIs" dxfId="35" priority="35" operator="between">
      <formula>0.99995</formula>
      <formula>1.00005</formula>
    </cfRule>
    <cfRule type="cellIs" dxfId="34" priority="36" operator="between">
      <formula>0.9995</formula>
      <formula>1.0005</formula>
    </cfRule>
  </conditionalFormatting>
  <conditionalFormatting sqref="AK26">
    <cfRule type="cellIs" dxfId="33" priority="33" operator="between">
      <formula>0.99995</formula>
      <formula>1.00005</formula>
    </cfRule>
    <cfRule type="cellIs" dxfId="32" priority="34" operator="between">
      <formula>0.9995</formula>
      <formula>1.0005</formula>
    </cfRule>
  </conditionalFormatting>
  <conditionalFormatting sqref="AU25">
    <cfRule type="cellIs" dxfId="31" priority="31" operator="between">
      <formula>0.99995</formula>
      <formula>1.00005</formula>
    </cfRule>
    <cfRule type="cellIs" dxfId="30" priority="32" operator="between">
      <formula>0.9995</formula>
      <formula>1.0005</formula>
    </cfRule>
  </conditionalFormatting>
  <conditionalFormatting sqref="AU26">
    <cfRule type="cellIs" dxfId="29" priority="29" operator="between">
      <formula>0.99995</formula>
      <formula>1.00005</formula>
    </cfRule>
    <cfRule type="cellIs" dxfId="28" priority="30" operator="between">
      <formula>0.9995</formula>
      <formula>1.0005</formula>
    </cfRule>
  </conditionalFormatting>
  <conditionalFormatting sqref="BE25">
    <cfRule type="cellIs" dxfId="27" priority="27" operator="between">
      <formula>0.99995</formula>
      <formula>1.00005</formula>
    </cfRule>
    <cfRule type="cellIs" dxfId="26" priority="28" operator="between">
      <formula>0.9995</formula>
      <formula>1.0005</formula>
    </cfRule>
  </conditionalFormatting>
  <conditionalFormatting sqref="BE26">
    <cfRule type="cellIs" dxfId="25" priority="25" operator="between">
      <formula>0.99995</formula>
      <formula>1.00005</formula>
    </cfRule>
    <cfRule type="cellIs" dxfId="24" priority="26" operator="between">
      <formula>0.9995</formula>
      <formula>1.0005</formula>
    </cfRule>
  </conditionalFormatting>
  <conditionalFormatting sqref="BO25">
    <cfRule type="cellIs" dxfId="23" priority="23" operator="between">
      <formula>0.99995</formula>
      <formula>1.00005</formula>
    </cfRule>
    <cfRule type="cellIs" dxfId="22" priority="24" operator="between">
      <formula>0.9995</formula>
      <formula>1.0005</formula>
    </cfRule>
  </conditionalFormatting>
  <conditionalFormatting sqref="BO26">
    <cfRule type="cellIs" dxfId="21" priority="21" operator="between">
      <formula>0.99995</formula>
      <formula>1.00005</formula>
    </cfRule>
    <cfRule type="cellIs" dxfId="20" priority="22" operator="between">
      <formula>0.9995</formula>
      <formula>1.0005</formula>
    </cfRule>
  </conditionalFormatting>
  <conditionalFormatting sqref="BY25">
    <cfRule type="cellIs" dxfId="19" priority="19" operator="between">
      <formula>0.99995</formula>
      <formula>1.00005</formula>
    </cfRule>
    <cfRule type="cellIs" dxfId="18" priority="20" operator="between">
      <formula>0.9995</formula>
      <formula>1.0005</formula>
    </cfRule>
  </conditionalFormatting>
  <conditionalFormatting sqref="BY26">
    <cfRule type="cellIs" dxfId="17" priority="17" operator="between">
      <formula>0.99995</formula>
      <formula>1.00005</formula>
    </cfRule>
    <cfRule type="cellIs" dxfId="16" priority="18" operator="between">
      <formula>0.9995</formula>
      <formula>1.0005</formula>
    </cfRule>
  </conditionalFormatting>
  <conditionalFormatting sqref="CI25">
    <cfRule type="cellIs" dxfId="15" priority="15" operator="between">
      <formula>0.99995</formula>
      <formula>1.00005</formula>
    </cfRule>
    <cfRule type="cellIs" dxfId="14" priority="16" operator="between">
      <formula>0.9995</formula>
      <formula>1.0005</formula>
    </cfRule>
  </conditionalFormatting>
  <conditionalFormatting sqref="CI26">
    <cfRule type="cellIs" dxfId="13" priority="13" operator="between">
      <formula>0.99995</formula>
      <formula>1.00005</formula>
    </cfRule>
    <cfRule type="cellIs" dxfId="12" priority="14" operator="between">
      <formula>0.9995</formula>
      <formula>1.0005</formula>
    </cfRule>
  </conditionalFormatting>
  <conditionalFormatting sqref="CS25">
    <cfRule type="cellIs" dxfId="11" priority="11" operator="between">
      <formula>0.99995</formula>
      <formula>1.00005</formula>
    </cfRule>
    <cfRule type="cellIs" dxfId="10" priority="12" operator="between">
      <formula>0.9995</formula>
      <formula>1.0005</formula>
    </cfRule>
  </conditionalFormatting>
  <conditionalFormatting sqref="CS26">
    <cfRule type="cellIs" dxfId="9" priority="9" operator="between">
      <formula>0.99995</formula>
      <formula>1.00005</formula>
    </cfRule>
    <cfRule type="cellIs" dxfId="8" priority="10" operator="between">
      <formula>0.9995</formula>
      <formula>1.0005</formula>
    </cfRule>
  </conditionalFormatting>
  <conditionalFormatting sqref="DC25">
    <cfRule type="cellIs" dxfId="7" priority="7" operator="between">
      <formula>0.99995</formula>
      <formula>1.00005</formula>
    </cfRule>
    <cfRule type="cellIs" dxfId="6" priority="8" operator="between">
      <formula>0.9995</formula>
      <formula>1.0005</formula>
    </cfRule>
  </conditionalFormatting>
  <conditionalFormatting sqref="DC26">
    <cfRule type="cellIs" dxfId="5" priority="5" operator="between">
      <formula>0.99995</formula>
      <formula>1.00005</formula>
    </cfRule>
    <cfRule type="cellIs" dxfId="4" priority="6" operator="between">
      <formula>0.9995</formula>
      <formula>1.0005</formula>
    </cfRule>
  </conditionalFormatting>
  <conditionalFormatting sqref="DM25">
    <cfRule type="cellIs" dxfId="3" priority="3" operator="between">
      <formula>0.99995</formula>
      <formula>1.00005</formula>
    </cfRule>
    <cfRule type="cellIs" dxfId="2" priority="4" operator="between">
      <formula>0.9995</formula>
      <formula>1.0005</formula>
    </cfRule>
  </conditionalFormatting>
  <conditionalFormatting sqref="DM26">
    <cfRule type="cellIs" dxfId="1" priority="1" operator="between">
      <formula>0.99995</formula>
      <formula>1.00005</formula>
    </cfRule>
    <cfRule type="cellIs" dxfId="0" priority="2" operator="between">
      <formula>0.9995</formula>
      <formula>1.0005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D7A1D-AE70-449F-A534-396BB37C041C}">
  <sheetPr codeName="Sheet4"/>
  <dimension ref="A1:BL52"/>
  <sheetViews>
    <sheetView topLeftCell="F13" workbookViewId="0">
      <selection activeCell="R25" sqref="R25:R26"/>
    </sheetView>
  </sheetViews>
  <sheetFormatPr defaultRowHeight="14.5" x14ac:dyDescent="0.35"/>
  <cols>
    <col min="5" max="5" width="12.36328125" bestFit="1" customWidth="1"/>
    <col min="20" max="28" width="8.7265625" style="4"/>
  </cols>
  <sheetData>
    <row r="1" spans="1:47" x14ac:dyDescent="0.35">
      <c r="A1" t="s">
        <v>6</v>
      </c>
    </row>
    <row r="3" spans="1:47" x14ac:dyDescent="0.35">
      <c r="A3" t="s">
        <v>7</v>
      </c>
      <c r="B3">
        <v>74</v>
      </c>
      <c r="C3" t="s">
        <v>45</v>
      </c>
      <c r="D3">
        <f>B3*0.3048/12</f>
        <v>1.8796000000000002</v>
      </c>
    </row>
    <row r="4" spans="1:47" x14ac:dyDescent="0.35">
      <c r="A4" t="s">
        <v>8</v>
      </c>
      <c r="B4">
        <v>34</v>
      </c>
      <c r="C4" t="s">
        <v>45</v>
      </c>
      <c r="D4">
        <f t="shared" ref="D4:D5" si="0">B4*0.3048/12</f>
        <v>0.86360000000000003</v>
      </c>
    </row>
    <row r="5" spans="1:47" x14ac:dyDescent="0.35">
      <c r="A5" t="s">
        <v>15</v>
      </c>
      <c r="B5">
        <v>34</v>
      </c>
      <c r="C5" t="s">
        <v>45</v>
      </c>
      <c r="D5">
        <f t="shared" si="0"/>
        <v>0.86360000000000003</v>
      </c>
    </row>
    <row r="6" spans="1:47" x14ac:dyDescent="0.35">
      <c r="A6" t="s">
        <v>9</v>
      </c>
      <c r="B6">
        <v>210</v>
      </c>
      <c r="C6" t="s">
        <v>32</v>
      </c>
      <c r="D6">
        <f>B6/60</f>
        <v>3.5</v>
      </c>
      <c r="E6" t="s">
        <v>33</v>
      </c>
    </row>
    <row r="7" spans="1:47" x14ac:dyDescent="0.35">
      <c r="A7" t="s">
        <v>10</v>
      </c>
      <c r="B7">
        <f>B3*B6/229</f>
        <v>67.860262008733628</v>
      </c>
    </row>
    <row r="8" spans="1:47" x14ac:dyDescent="0.35">
      <c r="A8" t="s">
        <v>18</v>
      </c>
      <c r="B8">
        <f>B3/B4</f>
        <v>2.1764705882352939</v>
      </c>
    </row>
    <row r="10" spans="1:47" x14ac:dyDescent="0.35">
      <c r="A10" t="s">
        <v>20</v>
      </c>
      <c r="B10">
        <v>1500</v>
      </c>
    </row>
    <row r="11" spans="1:47" x14ac:dyDescent="0.35">
      <c r="A11" t="s">
        <v>21</v>
      </c>
      <c r="B11">
        <v>1.25</v>
      </c>
    </row>
    <row r="12" spans="1:47" x14ac:dyDescent="0.35">
      <c r="A12" t="s">
        <v>22</v>
      </c>
      <c r="B12">
        <f>B10/B11</f>
        <v>1200</v>
      </c>
      <c r="C12" t="s">
        <v>31</v>
      </c>
      <c r="D12">
        <v>895</v>
      </c>
    </row>
    <row r="14" spans="1:47" x14ac:dyDescent="0.35">
      <c r="A14" t="s">
        <v>24</v>
      </c>
      <c r="B14">
        <v>32.14</v>
      </c>
      <c r="C14" t="s">
        <v>34</v>
      </c>
      <c r="D14">
        <v>9.81</v>
      </c>
      <c r="E14" t="s">
        <v>35</v>
      </c>
    </row>
    <row r="15" spans="1:47" x14ac:dyDescent="0.35">
      <c r="A15" t="s">
        <v>52</v>
      </c>
      <c r="B15">
        <v>0.99819999999999998</v>
      </c>
      <c r="C15" t="s">
        <v>53</v>
      </c>
    </row>
    <row r="16" spans="1:47" x14ac:dyDescent="0.35">
      <c r="K16" t="s">
        <v>23</v>
      </c>
      <c r="T16" s="4" t="s">
        <v>36</v>
      </c>
      <c r="AC16" t="s">
        <v>44</v>
      </c>
      <c r="AL16" s="4" t="s">
        <v>38</v>
      </c>
      <c r="AM16" s="4"/>
      <c r="AN16" s="4"/>
      <c r="AO16" s="4"/>
      <c r="AP16" s="4"/>
      <c r="AQ16" s="4"/>
      <c r="AR16" s="4"/>
      <c r="AS16" s="4"/>
      <c r="AT16" s="4"/>
      <c r="AU16" t="s">
        <v>47</v>
      </c>
    </row>
    <row r="17" spans="1:64" x14ac:dyDescent="0.35">
      <c r="A17" t="s">
        <v>25</v>
      </c>
      <c r="B17" t="s">
        <v>26</v>
      </c>
      <c r="C17" t="s">
        <v>27</v>
      </c>
      <c r="E17" t="s">
        <v>28</v>
      </c>
      <c r="F17" t="s">
        <v>29</v>
      </c>
      <c r="G17" t="s">
        <v>30</v>
      </c>
      <c r="H17" t="s">
        <v>4</v>
      </c>
      <c r="J17" t="s">
        <v>37</v>
      </c>
      <c r="K17" t="s">
        <v>39</v>
      </c>
      <c r="L17" t="s">
        <v>41</v>
      </c>
      <c r="M17" t="s">
        <v>40</v>
      </c>
      <c r="N17" t="s">
        <v>42</v>
      </c>
      <c r="O17" t="s">
        <v>19</v>
      </c>
      <c r="P17" t="s">
        <v>43</v>
      </c>
      <c r="Q17" t="s">
        <v>46</v>
      </c>
      <c r="R17" t="s">
        <v>14</v>
      </c>
      <c r="S17" t="s">
        <v>4</v>
      </c>
      <c r="T17" s="4" t="s">
        <v>39</v>
      </c>
      <c r="U17" s="4" t="s">
        <v>41</v>
      </c>
      <c r="V17" s="4" t="s">
        <v>40</v>
      </c>
      <c r="W17" s="4" t="s">
        <v>42</v>
      </c>
      <c r="X17" s="4" t="s">
        <v>19</v>
      </c>
      <c r="Y17" s="4" t="s">
        <v>43</v>
      </c>
      <c r="Z17" s="4" t="s">
        <v>46</v>
      </c>
      <c r="AA17" s="4" t="s">
        <v>14</v>
      </c>
      <c r="AB17" s="4" t="s">
        <v>4</v>
      </c>
      <c r="AC17" t="s">
        <v>39</v>
      </c>
      <c r="AD17" t="s">
        <v>41</v>
      </c>
      <c r="AE17" t="s">
        <v>40</v>
      </c>
      <c r="AF17" t="s">
        <v>42</v>
      </c>
      <c r="AG17" t="s">
        <v>19</v>
      </c>
      <c r="AH17" t="s">
        <v>43</v>
      </c>
      <c r="AI17" t="s">
        <v>46</v>
      </c>
      <c r="AJ17" t="s">
        <v>14</v>
      </c>
      <c r="AK17" t="s">
        <v>4</v>
      </c>
      <c r="AL17" s="4" t="s">
        <v>39</v>
      </c>
      <c r="AM17" s="4" t="s">
        <v>41</v>
      </c>
      <c r="AN17" s="4" t="s">
        <v>40</v>
      </c>
      <c r="AO17" s="4" t="s">
        <v>42</v>
      </c>
      <c r="AP17" s="4" t="s">
        <v>19</v>
      </c>
      <c r="AQ17" s="4" t="s">
        <v>43</v>
      </c>
      <c r="AR17" s="4" t="s">
        <v>46</v>
      </c>
      <c r="AS17" s="4" t="s">
        <v>14</v>
      </c>
      <c r="AT17" s="4" t="s">
        <v>4</v>
      </c>
      <c r="AU17" t="s">
        <v>39</v>
      </c>
      <c r="AV17" t="s">
        <v>41</v>
      </c>
      <c r="AW17" t="s">
        <v>40</v>
      </c>
      <c r="AX17" t="s">
        <v>42</v>
      </c>
      <c r="AY17" t="s">
        <v>19</v>
      </c>
      <c r="AZ17" t="s">
        <v>43</v>
      </c>
      <c r="BA17" t="s">
        <v>46</v>
      </c>
      <c r="BB17" t="s">
        <v>14</v>
      </c>
      <c r="BC17" t="s">
        <v>4</v>
      </c>
    </row>
    <row r="18" spans="1:64" x14ac:dyDescent="0.35">
      <c r="A18">
        <f>Example!E11</f>
        <v>5654.7102446901481</v>
      </c>
      <c r="B18">
        <f>Example!F11</f>
        <v>98.730342840799736</v>
      </c>
      <c r="C18">
        <f>Example!I11</f>
        <v>307.34112834969784</v>
      </c>
      <c r="E18">
        <f>A18*0.0000630902</f>
        <v>0.35675680027955037</v>
      </c>
      <c r="F18">
        <f>B18*0.3048</f>
        <v>30.093008497875761</v>
      </c>
      <c r="G18">
        <f>+C18*0.7457</f>
        <v>229.1842794103697</v>
      </c>
      <c r="H18" s="2">
        <f>$D$14*E18*F18/G18</f>
        <v>0.45953865712587288</v>
      </c>
      <c r="AL18" s="4"/>
      <c r="AM18" s="4"/>
      <c r="AN18" s="4"/>
      <c r="AO18" s="4"/>
      <c r="AP18" s="4"/>
      <c r="AQ18" s="4"/>
      <c r="AR18" s="4"/>
      <c r="AS18" s="4"/>
      <c r="AT18" s="4"/>
    </row>
    <row r="19" spans="1:64" x14ac:dyDescent="0.35">
      <c r="A19">
        <f>Example!E12</f>
        <v>11309.420489380296</v>
      </c>
      <c r="B19">
        <f>Example!F12</f>
        <v>96.74978396989485</v>
      </c>
      <c r="C19">
        <f>Example!I12</f>
        <v>462.43795592825569</v>
      </c>
      <c r="E19">
        <f t="shared" ref="E19:E33" si="1">A19*0.0000630902</f>
        <v>0.71351360055910074</v>
      </c>
      <c r="F19">
        <f t="shared" ref="F19:F33" si="2">B19*0.3048</f>
        <v>29.48933415402395</v>
      </c>
      <c r="G19">
        <f t="shared" ref="G19:G33" si="3">+C19*0.7457</f>
        <v>344.83998373570029</v>
      </c>
      <c r="H19" s="2">
        <f t="shared" ref="H19:H33" si="4">$D$14*E19*F19/G19</f>
        <v>0.59857505466454786</v>
      </c>
      <c r="AL19" s="4"/>
      <c r="AM19" s="4"/>
      <c r="AN19" s="4"/>
      <c r="AO19" s="4"/>
      <c r="AP19" s="4"/>
      <c r="AQ19" s="4"/>
      <c r="AR19" s="4"/>
      <c r="AS19" s="4"/>
      <c r="AT19" s="4"/>
    </row>
    <row r="20" spans="1:64" x14ac:dyDescent="0.35">
      <c r="A20">
        <f>Example!E13</f>
        <v>16964.130734070444</v>
      </c>
      <c r="B20">
        <f>Example!F13</f>
        <v>95.441800963551216</v>
      </c>
      <c r="C20">
        <f>Example!I13</f>
        <v>604.01055093314972</v>
      </c>
      <c r="E20">
        <f t="shared" si="1"/>
        <v>1.070270400838651</v>
      </c>
      <c r="F20">
        <f t="shared" si="2"/>
        <v>29.090660933690412</v>
      </c>
      <c r="G20">
        <f t="shared" si="3"/>
        <v>450.41066783084977</v>
      </c>
      <c r="H20" s="2">
        <f t="shared" si="4"/>
        <v>0.67812138846159575</v>
      </c>
      <c r="AL20" s="4"/>
      <c r="AM20" s="4"/>
      <c r="AN20" s="4"/>
      <c r="AO20" s="4"/>
      <c r="AP20" s="4"/>
      <c r="AQ20" s="4"/>
      <c r="AR20" s="4"/>
      <c r="AS20" s="4"/>
      <c r="AT20" s="4"/>
    </row>
    <row r="21" spans="1:64" x14ac:dyDescent="0.35">
      <c r="A21">
        <f>Example!E14</f>
        <v>22618.840978760592</v>
      </c>
      <c r="B21">
        <f>Example!F14</f>
        <v>94.428852310217707</v>
      </c>
      <c r="C21">
        <f>Example!I14</f>
        <v>742.56129297706877</v>
      </c>
      <c r="E21">
        <f t="shared" si="1"/>
        <v>1.4270272011182015</v>
      </c>
      <c r="F21">
        <f t="shared" si="2"/>
        <v>28.78191418415436</v>
      </c>
      <c r="G21">
        <f t="shared" si="3"/>
        <v>553.72795617300017</v>
      </c>
      <c r="H21" s="2">
        <f t="shared" si="4"/>
        <v>0.72765326506415229</v>
      </c>
      <c r="AL21" s="4"/>
      <c r="AM21" s="4"/>
      <c r="AN21" s="4"/>
      <c r="AO21" s="4"/>
      <c r="AP21" s="4"/>
      <c r="AQ21" s="4"/>
      <c r="AR21" s="4"/>
      <c r="AS21" s="4"/>
      <c r="AT21" s="4"/>
    </row>
    <row r="22" spans="1:64" x14ac:dyDescent="0.35">
      <c r="A22">
        <f>Example!E15</f>
        <v>28273.551223450744</v>
      </c>
      <c r="B22">
        <f>Example!F15</f>
        <v>93.421816182173828</v>
      </c>
      <c r="C22">
        <f>Example!I15</f>
        <v>880.47614327842837</v>
      </c>
      <c r="E22">
        <f t="shared" si="1"/>
        <v>1.783784001397752</v>
      </c>
      <c r="F22">
        <f t="shared" si="2"/>
        <v>28.474969572326586</v>
      </c>
      <c r="G22">
        <f t="shared" si="3"/>
        <v>656.57106004272407</v>
      </c>
      <c r="H22" s="2">
        <f t="shared" si="4"/>
        <v>0.75891441898241574</v>
      </c>
      <c r="AL22" s="4"/>
      <c r="AM22" s="4"/>
      <c r="AN22" s="4"/>
      <c r="AO22" s="4"/>
      <c r="AP22" s="4"/>
      <c r="AQ22" s="4"/>
      <c r="AR22" s="4"/>
      <c r="AS22" s="4"/>
      <c r="AT22" s="4"/>
    </row>
    <row r="23" spans="1:64" x14ac:dyDescent="0.35">
      <c r="A23">
        <f>Example!E16</f>
        <v>33928.261468140889</v>
      </c>
      <c r="B23">
        <f>Example!F16</f>
        <v>92.206627360701376</v>
      </c>
      <c r="C23">
        <f>Example!I16</f>
        <v>1017.6862698846495</v>
      </c>
      <c r="E23">
        <f t="shared" si="1"/>
        <v>2.140540801677302</v>
      </c>
      <c r="F23">
        <f t="shared" si="2"/>
        <v>28.104580019541782</v>
      </c>
      <c r="G23">
        <f t="shared" si="3"/>
        <v>758.88865145298314</v>
      </c>
      <c r="H23" s="2">
        <f t="shared" si="4"/>
        <v>0.77766322013341282</v>
      </c>
      <c r="AL23" s="4"/>
      <c r="AM23" s="4"/>
      <c r="AN23" s="4"/>
      <c r="AO23" s="4"/>
      <c r="AP23" s="4"/>
      <c r="AQ23" s="4"/>
      <c r="AR23" s="4"/>
      <c r="AS23" s="4"/>
      <c r="AT23" s="4"/>
    </row>
    <row r="24" spans="1:64" x14ac:dyDescent="0.35">
      <c r="A24">
        <f>Example!E17</f>
        <v>39582.971712831044</v>
      </c>
      <c r="B24">
        <f>Example!F17</f>
        <v>90.64182212007951</v>
      </c>
      <c r="C24">
        <f>Example!I17</f>
        <v>1153.6432968793174</v>
      </c>
      <c r="E24">
        <f t="shared" si="1"/>
        <v>2.4972976019568529</v>
      </c>
      <c r="F24">
        <f t="shared" si="2"/>
        <v>27.627627382200235</v>
      </c>
      <c r="G24">
        <f t="shared" si="3"/>
        <v>860.27180648290698</v>
      </c>
      <c r="H24" s="2">
        <f t="shared" si="4"/>
        <v>0.78676894156816424</v>
      </c>
      <c r="AL24" s="4"/>
      <c r="AM24" s="4"/>
      <c r="AN24" s="4"/>
      <c r="AO24" s="4"/>
      <c r="AP24" s="4"/>
      <c r="AQ24" s="4"/>
      <c r="AR24" s="4"/>
      <c r="AS24" s="4"/>
      <c r="AT24" s="4"/>
    </row>
    <row r="25" spans="1:64" x14ac:dyDescent="0.35">
      <c r="A25">
        <f>Example!E18</f>
        <v>45237.681957521185</v>
      </c>
      <c r="B25">
        <f>Example!F18</f>
        <v>88.658673803197701</v>
      </c>
      <c r="C25" s="1">
        <f>Example!I18</f>
        <v>1288.4578516752977</v>
      </c>
      <c r="D25" s="1"/>
      <c r="E25" s="17">
        <f t="shared" si="1"/>
        <v>2.8540544022364029</v>
      </c>
      <c r="F25">
        <f t="shared" si="2"/>
        <v>27.023163775214659</v>
      </c>
      <c r="G25" s="1">
        <f t="shared" si="3"/>
        <v>960.80301999426945</v>
      </c>
      <c r="H25" s="3">
        <f>$D$14*E25*F25/G25</f>
        <v>0.78746831503811077</v>
      </c>
      <c r="I25" s="1"/>
      <c r="J25" s="1"/>
      <c r="K25" s="7">
        <f>$D$6*($D$12/(G25*$B$15))^0.5</f>
        <v>3.3810656187329045</v>
      </c>
      <c r="L25" s="6">
        <f>K25/$D$6</f>
        <v>0.96601874820940126</v>
      </c>
      <c r="M25" s="10">
        <f>E25/L25</f>
        <v>2.9544503225497829</v>
      </c>
      <c r="N25" s="9" cm="1">
        <f t="array" ref="N25">raninterp($E$18:$E$33,$G$18:$G$33,M25)</f>
        <v>989.08671672989954</v>
      </c>
      <c r="O25" s="9">
        <f>N25*L25^3*$B$15</f>
        <v>890.03810501619614</v>
      </c>
      <c r="P25" s="18">
        <f>O25/$D$12</f>
        <v>0.99445598325831974</v>
      </c>
      <c r="Q25" s="9" cm="1">
        <f t="array" ref="Q25">raninterp($E$18:$E$33,$F$18:$F$33,M25)</f>
        <v>26.825779713108453</v>
      </c>
      <c r="R25" s="8">
        <f>Q25*L25^2*$B$15</f>
        <v>24.988548478308555</v>
      </c>
      <c r="S25" s="3">
        <f>$D$14*M25*Q25/N25</f>
        <v>0.78607445610130255</v>
      </c>
      <c r="T25" s="12">
        <f>K25*($D$12/O25)^0.5</f>
        <v>3.3904771121681101</v>
      </c>
      <c r="U25" s="13">
        <f>T25/$D$6</f>
        <v>0.96870774633374579</v>
      </c>
      <c r="V25" s="12">
        <f>$E25/U25</f>
        <v>2.9462491789067462</v>
      </c>
      <c r="W25" s="14" cm="1">
        <f t="array" ref="W25">raninterp($E$18:$E$33,$G$18:$G$33,V25)</f>
        <v>986.77627763077135</v>
      </c>
      <c r="X25" s="14">
        <f>W25*U25^3*$B$15</f>
        <v>895.39483271423637</v>
      </c>
      <c r="Y25" s="15">
        <f>X25/$D$12</f>
        <v>1.0004411538706552</v>
      </c>
      <c r="Z25" s="16" cm="1">
        <f t="array" ref="Z25">raninterp($E$18:$E$33,$F$18:$F$33,V25)</f>
        <v>26.841903625724886</v>
      </c>
      <c r="AA25" s="16">
        <f>Z25*U25^2*$B$15</f>
        <v>25.142961101352281</v>
      </c>
      <c r="AB25" s="5">
        <f>$D$14*V25*Z25/W25</f>
        <v>0.7862000990743373</v>
      </c>
      <c r="AC25" s="19">
        <f>T25*($D$12/X25)^0.5</f>
        <v>3.3897294984678266</v>
      </c>
      <c r="AD25" s="20">
        <f>AC25/$D$6</f>
        <v>0.96849414241937903</v>
      </c>
      <c r="AE25" s="21">
        <f>$E25/AD25</f>
        <v>2.9468989818634705</v>
      </c>
      <c r="AF25" s="22" cm="1">
        <f t="array" ref="AF25">raninterp($E$18:$E$33,$G$18:$G$33,AE25)</f>
        <v>986.95934114279987</v>
      </c>
      <c r="AG25" s="22">
        <f>AF25*AD25^3*$B$15</f>
        <v>894.96864980195733</v>
      </c>
      <c r="AH25" s="23">
        <f>AG25/$D$12</f>
        <v>0.99996497184576238</v>
      </c>
      <c r="AI25" s="31" cm="1">
        <f t="array" ref="AI25">raninterp($E$18:$E$33,$F$18:$F$33,AE25)</f>
        <v>26.840626076330782</v>
      </c>
      <c r="AJ25" s="8">
        <f>AI25*AD25^2*$B$15</f>
        <v>25.130677917861057</v>
      </c>
      <c r="AK25" s="24">
        <f>$D$14*AE25*AI25/AF25</f>
        <v>0.78619021840950476</v>
      </c>
      <c r="AL25" s="12">
        <f>AC25*($D$12/AG25)^0.5</f>
        <v>3.389788868011383</v>
      </c>
      <c r="AM25" s="13">
        <f>AL25/$D$6</f>
        <v>0.96851110514610939</v>
      </c>
      <c r="AN25" s="12">
        <f>$E25/AM25</f>
        <v>2.9468473691954631</v>
      </c>
      <c r="AO25" s="14" cm="1">
        <f t="array" ref="AO25">raninterp($E$18:$E$33,$G$18:$G$33,AN25)</f>
        <v>986.94480074070907</v>
      </c>
      <c r="AP25" s="14">
        <f>AO25*AM25^3*$B$15</f>
        <v>895.00248967099674</v>
      </c>
      <c r="AQ25" s="15">
        <f>AP25/$D$12</f>
        <v>1.0000027817553037</v>
      </c>
      <c r="AR25" s="16" cm="1">
        <f t="array" ref="AR25">raninterp($E$18:$E$33,$F$18:$F$33,AN25)</f>
        <v>26.840727549757545</v>
      </c>
      <c r="AS25" s="16">
        <f>AR25*AM25^2*$B$15</f>
        <v>25.131653242099372</v>
      </c>
      <c r="AT25" s="5">
        <f>$D$14*AN25*AR25/AO25</f>
        <v>0.78619100368209771</v>
      </c>
      <c r="AU25" s="7">
        <f>AL25*($D$12/AP25)^0.5</f>
        <v>3.3897841532396384</v>
      </c>
      <c r="AV25" s="6">
        <f>AU25/$D$6</f>
        <v>0.96850975806846817</v>
      </c>
      <c r="AW25" s="10">
        <f>$E25/AV25</f>
        <v>2.9468514678967614</v>
      </c>
      <c r="AX25" s="9" cm="1">
        <f t="array" ref="AX25">raninterp($E$18:$E$33,$G$18:$G$33,AW25)</f>
        <v>986.94595543329194</v>
      </c>
      <c r="AY25" s="9">
        <f>AX25*AV25^3*$B$15</f>
        <v>894.99980228586719</v>
      </c>
      <c r="AZ25" s="18">
        <f>AY25/$D$12</f>
        <v>0.99999977909035442</v>
      </c>
      <c r="BA25" s="9" cm="1">
        <f t="array" ref="BA25">raninterp($E$18:$E$33,$F$18:$F$33,AW25)</f>
        <v>26.840719491478794</v>
      </c>
      <c r="BB25" s="9">
        <f>BA25*AV25^2*$B$15</f>
        <v>25.131575787034578</v>
      </c>
      <c r="BC25" s="3">
        <f>$D$14*AW25*BA25/AX25</f>
        <v>0.78619094132444123</v>
      </c>
      <c r="BD25" s="12"/>
      <c r="BE25" s="13"/>
      <c r="BF25" s="12"/>
      <c r="BG25" s="14"/>
      <c r="BH25" s="14"/>
      <c r="BI25" s="15"/>
      <c r="BJ25" s="16"/>
      <c r="BK25" s="16"/>
      <c r="BL25" s="5"/>
    </row>
    <row r="26" spans="1:64" x14ac:dyDescent="0.35">
      <c r="A26">
        <f>Example!E19</f>
        <v>48065.03707986627</v>
      </c>
      <c r="B26">
        <f>Example!F19</f>
        <v>87.508076586879881</v>
      </c>
      <c r="C26" s="1">
        <f>Example!I19</f>
        <v>1355.8482817801487</v>
      </c>
      <c r="D26" s="1"/>
      <c r="E26">
        <f t="shared" si="1"/>
        <v>3.0324328023761788</v>
      </c>
      <c r="F26">
        <f t="shared" si="2"/>
        <v>26.672461743680987</v>
      </c>
      <c r="G26" s="1">
        <f t="shared" si="3"/>
        <v>1011.0560637234569</v>
      </c>
      <c r="H26" s="2">
        <f t="shared" si="4"/>
        <v>0.78478023374026218</v>
      </c>
      <c r="I26" s="1"/>
      <c r="J26" s="1"/>
      <c r="K26" s="7">
        <f>$D$6*($D$12/(G26*$B$15))^0.5</f>
        <v>3.2959693175179652</v>
      </c>
      <c r="L26" s="6">
        <f>K26/$D$6</f>
        <v>0.94170551929084723</v>
      </c>
      <c r="M26" s="10">
        <f>E26/L26</f>
        <v>3.2201497604683862</v>
      </c>
      <c r="N26" s="9" cm="1">
        <f t="array" ref="N26">raninterp($E$18:$E$33,$G$18:$G$33,M26)</f>
        <v>1064.349517492599</v>
      </c>
      <c r="O26" s="9">
        <f>N26*L26^3*$B$15</f>
        <v>887.25239547109288</v>
      </c>
      <c r="P26" s="18">
        <f>O26/$D$12</f>
        <v>0.99134345862691942</v>
      </c>
      <c r="Q26" s="9" cm="1">
        <f t="array" ref="Q26">raninterp($E$18:$E$33,$F$18:$F$33,M26)</f>
        <v>26.269614412734196</v>
      </c>
      <c r="R26" s="8">
        <f>Q26*L26^2*$B$15</f>
        <v>23.254204927876181</v>
      </c>
      <c r="S26" s="3">
        <f>$D$14*M26*Q26/N26</f>
        <v>0.77967661408484112</v>
      </c>
      <c r="T26" s="12">
        <f>K26*($D$12/O26)^0.5</f>
        <v>3.3103284578111731</v>
      </c>
      <c r="U26" s="13">
        <f>T26/$D$6</f>
        <v>0.94580813080319237</v>
      </c>
      <c r="V26" s="12">
        <f>$E26/U26</f>
        <v>3.2061817863640041</v>
      </c>
      <c r="W26" s="14" cm="1">
        <f t="array" ref="W26">raninterp($E$18:$E$33,$G$18:$G$33,V26)</f>
        <v>1060.3219312673809</v>
      </c>
      <c r="X26" s="14">
        <f>W26*U26^3*$B$15</f>
        <v>895.49762702131568</v>
      </c>
      <c r="Y26" s="15">
        <f>X26/$D$12</f>
        <v>1.0005560078450455</v>
      </c>
      <c r="Z26" s="16" cm="1">
        <f t="array" ref="Z26">raninterp($E$18:$E$33,$F$18:$F$33,V26)</f>
        <v>26.301472245621916</v>
      </c>
      <c r="AA26" s="16">
        <f>Z26*U26^2*$B$15</f>
        <v>23.485710924900999</v>
      </c>
      <c r="AB26" s="5">
        <f>$D$14*V26*Z26/W26</f>
        <v>0.78018835699730182</v>
      </c>
      <c r="AC26" s="7">
        <f>T26*($D$12/X26)^0.5</f>
        <v>3.3094085571013028</v>
      </c>
      <c r="AD26" s="6">
        <f>AC26/$D$6</f>
        <v>0.9455453020289436</v>
      </c>
      <c r="AE26" s="10">
        <f>$E26/AD26</f>
        <v>3.2070729936145934</v>
      </c>
      <c r="AF26" s="9" cm="1">
        <f t="array" ref="AF26">raninterp($E$18:$E$33,$G$18:$G$33,AE26)</f>
        <v>1060.5746297140365</v>
      </c>
      <c r="AG26" s="9">
        <f>AF26*AD26^3*$B$15</f>
        <v>894.9645294553394</v>
      </c>
      <c r="AH26" s="18">
        <f>AG26/$D$12</f>
        <v>0.99996036810652444</v>
      </c>
      <c r="AI26" s="8" cm="1">
        <f t="array" ref="AI26">raninterp($E$18:$E$33,$F$18:$F$33,AE26)</f>
        <v>26.299569336476928</v>
      </c>
      <c r="AJ26" s="8">
        <f>AI26*AD26^2*$B$15</f>
        <v>23.470961696999336</v>
      </c>
      <c r="AK26" s="3">
        <f>$D$14*AE26*AI26/AF26</f>
        <v>0.78016282977019691</v>
      </c>
      <c r="AL26" s="12">
        <f>AC26*($D$12/AG26)^0.5</f>
        <v>3.3094741381143349</v>
      </c>
      <c r="AM26" s="13">
        <f>AL26/$D$6</f>
        <v>0.94556403946123857</v>
      </c>
      <c r="AN26" s="12">
        <f>$E26/AM26</f>
        <v>3.2070094417972914</v>
      </c>
      <c r="AO26" s="14" cm="1">
        <f t="array" ref="AO26">raninterp($E$18:$E$33,$G$18:$G$33,AN26)</f>
        <v>1060.5566098365011</v>
      </c>
      <c r="AP26" s="14">
        <f>AO26*AM26^3*$B$15</f>
        <v>895.00252884514805</v>
      </c>
      <c r="AQ26" s="15">
        <f>AP26/$D$12</f>
        <v>1.0000028255253051</v>
      </c>
      <c r="AR26" s="16" cm="1">
        <f t="array" ref="AR26">raninterp($E$18:$E$33,$F$18:$F$33,AN26)</f>
        <v>26.299705032561363</v>
      </c>
      <c r="AS26" s="16">
        <f>AR26*AM26^2*$B$15</f>
        <v>23.47201303883131</v>
      </c>
      <c r="AT26" s="5">
        <f>$D$14*AN26*AR26/AO26</f>
        <v>0.78016465074788788</v>
      </c>
      <c r="AU26" s="7">
        <f>AL26*($D$12/AP26)^0.5</f>
        <v>3.309469462622781</v>
      </c>
      <c r="AV26" s="6">
        <f>AU26/$D$6</f>
        <v>0.94556270360650885</v>
      </c>
      <c r="AW26" s="10">
        <f>$E26/AV26</f>
        <v>3.2070139725372568</v>
      </c>
      <c r="AX26" s="9" cm="1">
        <f t="array" ref="AX26">raninterp($E$18:$E$33,$G$18:$G$33,AW26)</f>
        <v>1060.5578945106897</v>
      </c>
      <c r="AY26" s="9">
        <f>AX26*AV26^3*$B$15</f>
        <v>894.99981971061175</v>
      </c>
      <c r="AZ26" s="18">
        <f>AY26/$D$12</f>
        <v>0.99999979855934273</v>
      </c>
      <c r="BA26" s="9" cm="1">
        <f t="array" ref="BA26">raninterp($E$18:$E$33,$F$18:$F$33,AW26)</f>
        <v>26.299695358507986</v>
      </c>
      <c r="BB26" s="9">
        <f>BA26*AV26^2*$B$15</f>
        <v>23.471938084357902</v>
      </c>
      <c r="BC26" s="3">
        <f>$D$14*AW26*BA26/AX26</f>
        <v>0.7801645209298701</v>
      </c>
      <c r="BD26" s="12"/>
      <c r="BE26" s="13"/>
      <c r="BF26" s="12"/>
      <c r="BG26" s="14"/>
      <c r="BH26" s="14"/>
      <c r="BI26" s="15"/>
      <c r="BJ26" s="16"/>
      <c r="BK26" s="16"/>
      <c r="BL26" s="5"/>
    </row>
    <row r="27" spans="1:64" x14ac:dyDescent="0.35">
      <c r="A27">
        <f>Example!E20</f>
        <v>50892.392202211333</v>
      </c>
      <c r="B27">
        <f>Example!F20</f>
        <v>86.258489168210616</v>
      </c>
      <c r="C27" s="1">
        <f>Example!I20</f>
        <v>1423.6751840090528</v>
      </c>
      <c r="D27" s="1"/>
      <c r="E27">
        <f t="shared" si="1"/>
        <v>3.210811202515953</v>
      </c>
      <c r="F27">
        <f t="shared" si="2"/>
        <v>26.291587498470598</v>
      </c>
      <c r="G27" s="1">
        <f t="shared" si="3"/>
        <v>1061.6345847155508</v>
      </c>
      <c r="H27" s="2">
        <f t="shared" si="4"/>
        <v>0.78005554561354151</v>
      </c>
      <c r="I27" s="1"/>
      <c r="J27" s="1"/>
    </row>
    <row r="28" spans="1:64" x14ac:dyDescent="0.35">
      <c r="A28">
        <f>Example!E21</f>
        <v>56547.102446901488</v>
      </c>
      <c r="B28">
        <f>Example!F21</f>
        <v>83.504460038706398</v>
      </c>
      <c r="C28" s="1">
        <f>Example!I21</f>
        <v>1562.762452931054</v>
      </c>
      <c r="D28" s="1"/>
      <c r="E28">
        <f t="shared" si="1"/>
        <v>3.5675680027955039</v>
      </c>
      <c r="F28">
        <f t="shared" si="2"/>
        <v>25.452159419797713</v>
      </c>
      <c r="G28" s="1">
        <f t="shared" si="3"/>
        <v>1165.351961150687</v>
      </c>
      <c r="H28" s="2">
        <f t="shared" si="4"/>
        <v>0.76437907719098108</v>
      </c>
      <c r="I28" s="1"/>
      <c r="J28" s="1"/>
    </row>
    <row r="29" spans="1:64" x14ac:dyDescent="0.35">
      <c r="A29">
        <f>Example!E22</f>
        <v>62201.812691591629</v>
      </c>
      <c r="B29">
        <f>Example!F22</f>
        <v>80.508271116626759</v>
      </c>
      <c r="C29" s="1">
        <f>Example!I22</f>
        <v>1711.310231586099</v>
      </c>
      <c r="D29" s="1"/>
      <c r="E29">
        <f t="shared" si="1"/>
        <v>3.9243248030750539</v>
      </c>
      <c r="F29">
        <f t="shared" si="2"/>
        <v>24.538921036347837</v>
      </c>
      <c r="G29" s="1">
        <f t="shared" si="3"/>
        <v>1276.1240396937542</v>
      </c>
      <c r="H29" s="2">
        <f t="shared" si="4"/>
        <v>0.74028086841387031</v>
      </c>
      <c r="I29" s="1"/>
      <c r="J29" s="1"/>
    </row>
    <row r="30" spans="1:64" x14ac:dyDescent="0.35">
      <c r="A30">
        <f>Example!E23</f>
        <v>67856.522936281777</v>
      </c>
      <c r="B30">
        <f>Example!F23</f>
        <v>77.413873492080967</v>
      </c>
      <c r="C30" s="1">
        <f>Example!I23</f>
        <v>1876.9373791021383</v>
      </c>
      <c r="D30" s="1"/>
      <c r="E30">
        <f t="shared" si="1"/>
        <v>4.281081603354604</v>
      </c>
      <c r="F30">
        <f t="shared" si="2"/>
        <v>23.59574864038628</v>
      </c>
      <c r="G30" s="1">
        <f t="shared" si="3"/>
        <v>1399.6322035964645</v>
      </c>
      <c r="H30" s="2">
        <f t="shared" si="4"/>
        <v>0.70801481977971847</v>
      </c>
      <c r="I30" s="1"/>
      <c r="J30" s="1"/>
    </row>
    <row r="31" spans="1:64" x14ac:dyDescent="0.35">
      <c r="A31">
        <f>Example!E24</f>
        <v>73511.233180971933</v>
      </c>
      <c r="B31">
        <f>Example!F24</f>
        <v>74.381899635597804</v>
      </c>
      <c r="C31" s="1">
        <f>Example!I24</f>
        <v>2068.8337036938615</v>
      </c>
      <c r="D31" s="1"/>
      <c r="E31">
        <f t="shared" si="1"/>
        <v>4.6378384036341549</v>
      </c>
      <c r="F31">
        <f t="shared" si="2"/>
        <v>22.671603008930212</v>
      </c>
      <c r="G31" s="1">
        <f t="shared" si="3"/>
        <v>1542.7292928445127</v>
      </c>
      <c r="H31" s="2">
        <f t="shared" si="4"/>
        <v>0.66861654986499208</v>
      </c>
      <c r="I31" s="1"/>
      <c r="J31" s="1"/>
    </row>
    <row r="32" spans="1:64" x14ac:dyDescent="0.35">
      <c r="A32">
        <f>Example!E25</f>
        <v>79165.943425662088</v>
      </c>
      <c r="B32">
        <f>Example!F25</f>
        <v>71.578055716013992</v>
      </c>
      <c r="C32" s="1">
        <f>Example!I25</f>
        <v>2296.7360834443562</v>
      </c>
      <c r="D32" s="1"/>
      <c r="E32">
        <f t="shared" si="1"/>
        <v>4.9945952039137058</v>
      </c>
      <c r="F32">
        <f t="shared" si="2"/>
        <v>21.816991382241067</v>
      </c>
      <c r="G32" s="1">
        <f t="shared" si="3"/>
        <v>1712.6760974244564</v>
      </c>
      <c r="H32" s="2">
        <f t="shared" si="4"/>
        <v>0.62414993069857538</v>
      </c>
      <c r="I32" s="1"/>
      <c r="J32" s="1"/>
    </row>
    <row r="33" spans="1:10" x14ac:dyDescent="0.35">
      <c r="A33">
        <f>Example!E26</f>
        <v>84820.653670352214</v>
      </c>
      <c r="B33">
        <f>Example!F26</f>
        <v>69.167952863679503</v>
      </c>
      <c r="C33" s="1">
        <f>Example!I26</f>
        <v>2568.9566702822544</v>
      </c>
      <c r="D33" s="1"/>
      <c r="E33">
        <f t="shared" si="1"/>
        <v>5.351352004193255</v>
      </c>
      <c r="F33">
        <f t="shared" si="2"/>
        <v>21.082392032849512</v>
      </c>
      <c r="G33" s="1">
        <f t="shared" si="3"/>
        <v>1915.6709890294771</v>
      </c>
      <c r="H33" s="2">
        <f t="shared" si="4"/>
        <v>0.57773873893628591</v>
      </c>
      <c r="I33" s="1"/>
      <c r="J33" s="1"/>
    </row>
    <row r="37" spans="1:10" x14ac:dyDescent="0.35">
      <c r="F37" t="str">
        <f>TEXT(E18,"0.0000000")&amp;": "&amp;TEXT(F18,"0.000000")&amp;","</f>
        <v>0.3567568: 30.093008,</v>
      </c>
      <c r="G37" t="str">
        <f>TEXT(E18,"0.000000")&amp;": "&amp;TEXT(G18,"0.000000")&amp;","</f>
        <v>0.356757: 229.184279,</v>
      </c>
    </row>
    <row r="38" spans="1:10" x14ac:dyDescent="0.35">
      <c r="F38" t="str">
        <f t="shared" ref="F38:F52" si="5">TEXT(E19,"0.0000000")&amp;": "&amp;TEXT(F19,"0.000000")&amp;","</f>
        <v>0.7135136: 29.489334,</v>
      </c>
      <c r="G38" t="str">
        <f t="shared" ref="G38:G52" si="6">TEXT(E19,"0.000000")&amp;": "&amp;TEXT(G19,"0.000000")&amp;","</f>
        <v>0.713514: 344.839984,</v>
      </c>
    </row>
    <row r="39" spans="1:10" x14ac:dyDescent="0.35">
      <c r="F39" t="str">
        <f t="shared" si="5"/>
        <v>1.0702704: 29.090661,</v>
      </c>
      <c r="G39" t="str">
        <f t="shared" si="6"/>
        <v>1.070270: 450.410668,</v>
      </c>
    </row>
    <row r="40" spans="1:10" x14ac:dyDescent="0.35">
      <c r="F40" t="str">
        <f t="shared" si="5"/>
        <v>1.4270272: 28.781914,</v>
      </c>
      <c r="G40" t="str">
        <f t="shared" si="6"/>
        <v>1.427027: 553.727956,</v>
      </c>
    </row>
    <row r="41" spans="1:10" x14ac:dyDescent="0.35">
      <c r="F41" t="str">
        <f t="shared" si="5"/>
        <v>1.7837840: 28.474970,</v>
      </c>
      <c r="G41" t="str">
        <f t="shared" si="6"/>
        <v>1.783784: 656.571060,</v>
      </c>
    </row>
    <row r="42" spans="1:10" x14ac:dyDescent="0.35">
      <c r="F42" t="str">
        <f t="shared" si="5"/>
        <v>2.1405408: 28.104580,</v>
      </c>
      <c r="G42" t="str">
        <f t="shared" si="6"/>
        <v>2.140541: 758.888651,</v>
      </c>
    </row>
    <row r="43" spans="1:10" x14ac:dyDescent="0.35">
      <c r="F43" t="str">
        <f t="shared" si="5"/>
        <v>2.4972976: 27.627627,</v>
      </c>
      <c r="G43" t="str">
        <f t="shared" si="6"/>
        <v>2.497298: 860.271806,</v>
      </c>
    </row>
    <row r="44" spans="1:10" x14ac:dyDescent="0.35">
      <c r="F44" t="str">
        <f t="shared" si="5"/>
        <v>2.8540544: 27.023164,</v>
      </c>
      <c r="G44" t="str">
        <f t="shared" si="6"/>
        <v>2.854054: 960.803020,</v>
      </c>
    </row>
    <row r="45" spans="1:10" x14ac:dyDescent="0.35">
      <c r="F45" t="str">
        <f t="shared" si="5"/>
        <v>3.0324328: 26.672462,</v>
      </c>
      <c r="G45" t="str">
        <f t="shared" si="6"/>
        <v>3.032433: 1011.056064,</v>
      </c>
    </row>
    <row r="46" spans="1:10" x14ac:dyDescent="0.35">
      <c r="F46" t="str">
        <f t="shared" si="5"/>
        <v>3.2108112: 26.291587,</v>
      </c>
      <c r="G46" t="str">
        <f t="shared" si="6"/>
        <v>3.210811: 1061.634585,</v>
      </c>
    </row>
    <row r="47" spans="1:10" x14ac:dyDescent="0.35">
      <c r="F47" t="str">
        <f t="shared" si="5"/>
        <v>3.5675680: 25.452159,</v>
      </c>
      <c r="G47" t="str">
        <f t="shared" si="6"/>
        <v>3.567568: 1165.351961,</v>
      </c>
    </row>
    <row r="48" spans="1:10" x14ac:dyDescent="0.35">
      <c r="F48" t="str">
        <f t="shared" si="5"/>
        <v>3.9243248: 24.538921,</v>
      </c>
      <c r="G48" t="str">
        <f t="shared" si="6"/>
        <v>3.924325: 1276.124040,</v>
      </c>
    </row>
    <row r="49" spans="6:7" x14ac:dyDescent="0.35">
      <c r="F49" t="str">
        <f t="shared" si="5"/>
        <v>4.2810816: 23.595749,</v>
      </c>
      <c r="G49" t="str">
        <f t="shared" si="6"/>
        <v>4.281082: 1399.632204,</v>
      </c>
    </row>
    <row r="50" spans="6:7" x14ac:dyDescent="0.35">
      <c r="F50" t="str">
        <f t="shared" si="5"/>
        <v>4.6378384: 22.671603,</v>
      </c>
      <c r="G50" t="str">
        <f t="shared" si="6"/>
        <v>4.637838: 1542.729293,</v>
      </c>
    </row>
    <row r="51" spans="6:7" x14ac:dyDescent="0.35">
      <c r="F51" t="str">
        <f t="shared" si="5"/>
        <v>4.9945952: 21.816991,</v>
      </c>
      <c r="G51" t="str">
        <f t="shared" si="6"/>
        <v>4.994595: 1712.676097,</v>
      </c>
    </row>
    <row r="52" spans="6:7" x14ac:dyDescent="0.35">
      <c r="F52" t="str">
        <f t="shared" si="5"/>
        <v>5.3513520: 21.082392,</v>
      </c>
      <c r="G52" t="str">
        <f t="shared" si="6"/>
        <v>5.351352: 1915.670989,</v>
      </c>
    </row>
  </sheetData>
  <conditionalFormatting sqref="BI25">
    <cfRule type="cellIs" dxfId="98" priority="28" operator="between">
      <formula>0.9995</formula>
      <formula>1.0005</formula>
    </cfRule>
  </conditionalFormatting>
  <conditionalFormatting sqref="BI26">
    <cfRule type="cellIs" dxfId="97" priority="27" operator="between">
      <formula>0.99995</formula>
      <formula>1.00005</formula>
    </cfRule>
  </conditionalFormatting>
  <conditionalFormatting sqref="Y25">
    <cfRule type="cellIs" dxfId="91" priority="20" operator="between">
      <formula>0.9995</formula>
      <formula>1.0005</formula>
    </cfRule>
    <cfRule type="cellIs" dxfId="92" priority="19" operator="between">
      <formula>0.99995</formula>
      <formula>1.00005</formula>
    </cfRule>
  </conditionalFormatting>
  <conditionalFormatting sqref="Y26">
    <cfRule type="cellIs" dxfId="60" priority="17" operator="between">
      <formula>0.99995</formula>
      <formula>1.00005</formula>
    </cfRule>
    <cfRule type="cellIs" dxfId="61" priority="18" operator="between">
      <formula>0.9995</formula>
      <formula>1.0005</formula>
    </cfRule>
  </conditionalFormatting>
  <conditionalFormatting sqref="AH25">
    <cfRule type="cellIs" dxfId="58" priority="15" operator="between">
      <formula>0.99995</formula>
      <formula>1.00005</formula>
    </cfRule>
    <cfRule type="cellIs" dxfId="59" priority="16" operator="between">
      <formula>0.9995</formula>
      <formula>1.0005</formula>
    </cfRule>
  </conditionalFormatting>
  <conditionalFormatting sqref="AH26">
    <cfRule type="cellIs" dxfId="57" priority="13" operator="between">
      <formula>0.99995</formula>
      <formula>1.00005</formula>
    </cfRule>
    <cfRule type="cellIs" dxfId="56" priority="14" operator="between">
      <formula>0.9995</formula>
      <formula>1.0005</formula>
    </cfRule>
  </conditionalFormatting>
  <conditionalFormatting sqref="AQ25">
    <cfRule type="cellIs" dxfId="54" priority="11" operator="between">
      <formula>0.99995</formula>
      <formula>1.00005</formula>
    </cfRule>
    <cfRule type="cellIs" dxfId="55" priority="12" operator="between">
      <formula>0.9995</formula>
      <formula>1.0005</formula>
    </cfRule>
  </conditionalFormatting>
  <conditionalFormatting sqref="AQ26">
    <cfRule type="cellIs" dxfId="53" priority="9" operator="between">
      <formula>0.99995</formula>
      <formula>1.00005</formula>
    </cfRule>
    <cfRule type="cellIs" dxfId="52" priority="10" operator="between">
      <formula>0.9995</formula>
      <formula>1.0005</formula>
    </cfRule>
  </conditionalFormatting>
  <conditionalFormatting sqref="AZ25">
    <cfRule type="cellIs" dxfId="51" priority="7" operator="between">
      <formula>0.99995</formula>
      <formula>1.00005</formula>
    </cfRule>
    <cfRule type="cellIs" dxfId="50" priority="8" operator="between">
      <formula>0.9995</formula>
      <formula>1.0005</formula>
    </cfRule>
  </conditionalFormatting>
  <conditionalFormatting sqref="AZ26">
    <cfRule type="cellIs" dxfId="49" priority="5" operator="between">
      <formula>0.99995</formula>
      <formula>1.00005</formula>
    </cfRule>
    <cfRule type="cellIs" dxfId="48" priority="6" operator="between">
      <formula>0.9995</formula>
      <formula>1.0005</formula>
    </cfRule>
  </conditionalFormatting>
  <conditionalFormatting sqref="P25">
    <cfRule type="cellIs" dxfId="47" priority="3" operator="between">
      <formula>0.99995</formula>
      <formula>1.00005</formula>
    </cfRule>
    <cfRule type="cellIs" dxfId="46" priority="4" operator="between">
      <formula>0.9995</formula>
      <formula>1.0005</formula>
    </cfRule>
  </conditionalFormatting>
  <conditionalFormatting sqref="P26">
    <cfRule type="cellIs" dxfId="45" priority="1" operator="between">
      <formula>0.99995</formula>
      <formula>1.00005</formula>
    </cfRule>
    <cfRule type="cellIs" dxfId="44" priority="2" operator="between">
      <formula>0.9995</formula>
      <formula>1.0005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V-C</vt:lpstr>
      <vt:lpstr>NS-Eff</vt:lpstr>
      <vt:lpstr>Example</vt:lpstr>
      <vt:lpstr>Torque Limited example</vt:lpstr>
      <vt:lpstr>Power Limited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Ramsdell</dc:creator>
  <cp:lastModifiedBy>Robert Ramsdell</cp:lastModifiedBy>
  <dcterms:created xsi:type="dcterms:W3CDTF">2021-09-03T21:32:47Z</dcterms:created>
  <dcterms:modified xsi:type="dcterms:W3CDTF">2021-09-16T19:09:31Z</dcterms:modified>
</cp:coreProperties>
</file>