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crii\PycharmProjects\DHLLDV\tests\"/>
    </mc:Choice>
  </mc:AlternateContent>
  <xr:revisionPtr revIDLastSave="0" documentId="13_ncr:1_{335ABFF4-7D49-44BB-BD3F-D3E4FD5D10CD}" xr6:coauthVersionLast="47" xr6:coauthVersionMax="47" xr10:uidLastSave="{00000000-0000-0000-0000-000000000000}"/>
  <bookViews>
    <workbookView xWindow="28680" yWindow="-120" windowWidth="29040" windowHeight="15720" tabRatio="500" activeTab="1" xr2:uid="{00000000-000D-0000-FFFF-FFFF00000000}"/>
  </bookViews>
  <sheets>
    <sheet name="Test Slurries" sheetId="15" r:id="rId1"/>
    <sheet name="Test Pumps" sheetId="14" r:id="rId2"/>
    <sheet name="Test Pipeline" sheetId="12" r:id="rId3"/>
    <sheet name="Test Pipeline qimin" sheetId="19" r:id="rId4"/>
  </sheets>
  <functionGroups builtInGroupCount="19"/>
  <externalReferences>
    <externalReference r:id="rId5"/>
  </externalReferences>
  <definedNames>
    <definedName name="solver_adj" localSheetId="3" hidden="1">'Test Pipeline qimin'!$B$1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'Test Pipeline qimin'!$P$15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3" i="14" l="1"/>
  <c r="B92" i="14"/>
  <c r="B99" i="14"/>
  <c r="E12" i="19"/>
  <c r="Q31" i="19"/>
  <c r="O27" i="19"/>
  <c r="O28" i="19" s="1"/>
  <c r="O29" i="19" s="1"/>
  <c r="O30" i="19" s="1"/>
  <c r="O31" i="19" s="1"/>
  <c r="T15" i="19"/>
  <c r="N15" i="19"/>
  <c r="T14" i="19"/>
  <c r="N14" i="19"/>
  <c r="T13" i="19"/>
  <c r="N13" i="19"/>
  <c r="T12" i="19"/>
  <c r="N12" i="19"/>
  <c r="C12" i="19"/>
  <c r="F12" i="19" s="1"/>
  <c r="T11" i="19"/>
  <c r="R11" i="19"/>
  <c r="N11" i="19"/>
  <c r="P26" i="19" s="1"/>
  <c r="L11" i="19"/>
  <c r="J11" i="19"/>
  <c r="J12" i="19" s="1"/>
  <c r="H7" i="19"/>
  <c r="G7" i="19"/>
  <c r="B2" i="19"/>
  <c r="Q26" i="19" l="1"/>
  <c r="G13" i="15"/>
  <c r="S12" i="19"/>
  <c r="M12" i="19"/>
  <c r="J13" i="19"/>
  <c r="J7" i="19"/>
  <c r="Q27" i="19"/>
  <c r="C11" i="19"/>
  <c r="F11" i="19" s="1"/>
  <c r="K12" i="19" s="1"/>
  <c r="C13" i="19"/>
  <c r="B13" i="15" s="1"/>
  <c r="H13" i="15" a="1"/>
  <c r="I13" i="15" a="1"/>
  <c r="C13" i="15" a="1"/>
  <c r="D13" i="15" a="1"/>
  <c r="D13" i="15" l="1"/>
  <c r="E13" i="19" s="1"/>
  <c r="C13" i="15"/>
  <c r="D13" i="19" s="1"/>
  <c r="I13" i="15"/>
  <c r="H13" i="15"/>
  <c r="D12" i="19" s="1"/>
  <c r="Q12" i="19"/>
  <c r="Q28" i="19"/>
  <c r="J14" i="19"/>
  <c r="F13" i="19"/>
  <c r="C14" i="19"/>
  <c r="M11" i="19"/>
  <c r="S11" i="19"/>
  <c r="K11" i="19"/>
  <c r="Q11" i="19"/>
  <c r="B41" i="14"/>
  <c r="D41" i="14" s="1"/>
  <c r="C4" i="14"/>
  <c r="A3" i="14"/>
  <c r="L3" i="14" s="1"/>
  <c r="B96" i="14"/>
  <c r="B93" i="14"/>
  <c r="E124" i="14" s="1"/>
  <c r="K124" i="14" s="1"/>
  <c r="D92" i="14"/>
  <c r="D33" i="14"/>
  <c r="B32" i="14"/>
  <c r="D32" i="14" s="1"/>
  <c r="A29" i="14" s="1"/>
  <c r="D31" i="14"/>
  <c r="D34" i="14"/>
  <c r="B35" i="14"/>
  <c r="E110" i="14"/>
  <c r="K110" i="14" s="1"/>
  <c r="B108" i="14"/>
  <c r="L108" i="14" s="1"/>
  <c r="C108" i="14"/>
  <c r="B109" i="14"/>
  <c r="L109" i="14" s="1"/>
  <c r="C109" i="14"/>
  <c r="B110" i="14"/>
  <c r="C110" i="14"/>
  <c r="B111" i="14"/>
  <c r="C111" i="14"/>
  <c r="B112" i="14"/>
  <c r="C112" i="14"/>
  <c r="B113" i="14"/>
  <c r="L113" i="14" s="1"/>
  <c r="C113" i="14"/>
  <c r="B114" i="14"/>
  <c r="C114" i="14"/>
  <c r="B115" i="14"/>
  <c r="C115" i="14"/>
  <c r="B116" i="14"/>
  <c r="L116" i="14" s="1"/>
  <c r="C116" i="14"/>
  <c r="B117" i="14"/>
  <c r="C117" i="14"/>
  <c r="B118" i="14"/>
  <c r="C118" i="14"/>
  <c r="B119" i="14"/>
  <c r="C119" i="14"/>
  <c r="B120" i="14"/>
  <c r="C120" i="14"/>
  <c r="B121" i="14"/>
  <c r="L121" i="14" s="1"/>
  <c r="C121" i="14"/>
  <c r="B122" i="14"/>
  <c r="C122" i="14"/>
  <c r="B123" i="14"/>
  <c r="C123" i="14"/>
  <c r="B124" i="14"/>
  <c r="L124" i="14" s="1"/>
  <c r="C124" i="14"/>
  <c r="N107" i="14"/>
  <c r="C107" i="14"/>
  <c r="B107" i="14"/>
  <c r="L107" i="14" s="1"/>
  <c r="D98" i="14"/>
  <c r="D94" i="14"/>
  <c r="D91" i="14"/>
  <c r="K64" i="14"/>
  <c r="C64" i="14"/>
  <c r="B64" i="14"/>
  <c r="K63" i="14"/>
  <c r="C63" i="14"/>
  <c r="B63" i="14"/>
  <c r="K62" i="14"/>
  <c r="E62" i="14"/>
  <c r="L62" i="14" s="1"/>
  <c r="C62" i="14"/>
  <c r="B62" i="14"/>
  <c r="K61" i="14"/>
  <c r="E61" i="14"/>
  <c r="C61" i="14"/>
  <c r="B61" i="14"/>
  <c r="K60" i="14"/>
  <c r="E60" i="14"/>
  <c r="L60" i="14" s="1"/>
  <c r="C60" i="14"/>
  <c r="B60" i="14"/>
  <c r="K59" i="14"/>
  <c r="E59" i="14"/>
  <c r="L59" i="14" s="1"/>
  <c r="C59" i="14"/>
  <c r="B59" i="14"/>
  <c r="K58" i="14"/>
  <c r="E58" i="14"/>
  <c r="L58" i="14" s="1"/>
  <c r="C58" i="14"/>
  <c r="B58" i="14"/>
  <c r="K57" i="14"/>
  <c r="E57" i="14"/>
  <c r="L57" i="14" s="1"/>
  <c r="C57" i="14"/>
  <c r="B57" i="14"/>
  <c r="K56" i="14"/>
  <c r="E56" i="14"/>
  <c r="L56" i="14" s="1"/>
  <c r="C56" i="14"/>
  <c r="B56" i="14"/>
  <c r="K55" i="14"/>
  <c r="E55" i="14"/>
  <c r="L55" i="14" s="1"/>
  <c r="C55" i="14"/>
  <c r="B55" i="14"/>
  <c r="K54" i="14"/>
  <c r="E54" i="14"/>
  <c r="L54" i="14" s="1"/>
  <c r="C54" i="14"/>
  <c r="B54" i="14"/>
  <c r="K53" i="14"/>
  <c r="E53" i="14"/>
  <c r="C53" i="14"/>
  <c r="B53" i="14"/>
  <c r="K52" i="14"/>
  <c r="E52" i="14"/>
  <c r="L52" i="14" s="1"/>
  <c r="C52" i="14"/>
  <c r="B52" i="14"/>
  <c r="K51" i="14"/>
  <c r="E51" i="14"/>
  <c r="L51" i="14" s="1"/>
  <c r="C51" i="14"/>
  <c r="B51" i="14"/>
  <c r="K50" i="14"/>
  <c r="E50" i="14"/>
  <c r="L50" i="14" s="1"/>
  <c r="C50" i="14"/>
  <c r="B50" i="14"/>
  <c r="K49" i="14"/>
  <c r="E49" i="14"/>
  <c r="L49" i="14" s="1"/>
  <c r="C49" i="14"/>
  <c r="B49" i="14"/>
  <c r="K48" i="14"/>
  <c r="E48" i="14"/>
  <c r="C48" i="14"/>
  <c r="B48" i="14"/>
  <c r="N47" i="14"/>
  <c r="K47" i="14"/>
  <c r="E47" i="14"/>
  <c r="L47" i="14" s="1"/>
  <c r="C47" i="14"/>
  <c r="B47" i="14"/>
  <c r="D40" i="14"/>
  <c r="D38" i="14"/>
  <c r="B2" i="12"/>
  <c r="E118" i="14" l="1"/>
  <c r="K118" i="14" s="1"/>
  <c r="E119" i="14"/>
  <c r="K119" i="14" s="1"/>
  <c r="E109" i="14"/>
  <c r="K109" i="14" s="1"/>
  <c r="E111" i="14"/>
  <c r="K111" i="14" s="1"/>
  <c r="E117" i="14"/>
  <c r="K117" i="14" s="1"/>
  <c r="U11" i="19"/>
  <c r="V11" i="19" s="1"/>
  <c r="O11" i="19"/>
  <c r="P11" i="19" s="1"/>
  <c r="P27" i="19" s="1"/>
  <c r="Q29" i="19"/>
  <c r="J15" i="19"/>
  <c r="Q30" i="19" s="1"/>
  <c r="F14" i="19"/>
  <c r="C15" i="19"/>
  <c r="F15" i="19" s="1"/>
  <c r="S13" i="19"/>
  <c r="Q13" i="19"/>
  <c r="K13" i="19"/>
  <c r="M13" i="19"/>
  <c r="E64" i="14"/>
  <c r="L64" i="14" s="1"/>
  <c r="E63" i="14"/>
  <c r="L63" i="14" s="1"/>
  <c r="A66" i="14"/>
  <c r="A126" i="14" s="1"/>
  <c r="L126" i="14" s="1"/>
  <c r="A5" i="14"/>
  <c r="D51" i="14"/>
  <c r="F51" i="14" s="1"/>
  <c r="M51" i="14" s="1"/>
  <c r="M73" i="14" s="1"/>
  <c r="D53" i="14"/>
  <c r="F53" i="14" s="1"/>
  <c r="M53" i="14" s="1"/>
  <c r="B95" i="14"/>
  <c r="D112" i="14" s="1"/>
  <c r="F112" i="14" s="1"/>
  <c r="G112" i="14" s="1"/>
  <c r="H112" i="14" s="1"/>
  <c r="D116" i="14"/>
  <c r="F116" i="14" s="1"/>
  <c r="G116" i="14" s="1"/>
  <c r="H116" i="14" s="1"/>
  <c r="I116" i="14" s="1"/>
  <c r="N116" i="14" s="1"/>
  <c r="E113" i="14"/>
  <c r="K113" i="14" s="1"/>
  <c r="E121" i="14"/>
  <c r="K121" i="14" s="1"/>
  <c r="E114" i="14"/>
  <c r="K114" i="14" s="1"/>
  <c r="E122" i="14"/>
  <c r="K122" i="14" s="1"/>
  <c r="E112" i="14"/>
  <c r="K112" i="14" s="1"/>
  <c r="E120" i="14"/>
  <c r="K120" i="14" s="1"/>
  <c r="E107" i="14"/>
  <c r="K107" i="14" s="1"/>
  <c r="N130" i="14" s="1"/>
  <c r="E115" i="14"/>
  <c r="K115" i="14" s="1"/>
  <c r="E123" i="14"/>
  <c r="K123" i="14" s="1"/>
  <c r="D93" i="14"/>
  <c r="E108" i="14"/>
  <c r="K108" i="14" s="1"/>
  <c r="E116" i="14"/>
  <c r="K116" i="14" s="1"/>
  <c r="A89" i="14"/>
  <c r="B36" i="14"/>
  <c r="D119" i="14"/>
  <c r="F119" i="14" s="1"/>
  <c r="G119" i="14" s="1"/>
  <c r="H119" i="14" s="1"/>
  <c r="I119" i="14" s="1"/>
  <c r="N119" i="14" s="1"/>
  <c r="N142" i="14" s="1"/>
  <c r="D59" i="14"/>
  <c r="F59" i="14" s="1"/>
  <c r="M59" i="14" s="1"/>
  <c r="M81" i="14" s="1"/>
  <c r="D61" i="14"/>
  <c r="F61" i="14" s="1"/>
  <c r="G61" i="14" s="1"/>
  <c r="H61" i="14" s="1"/>
  <c r="I61" i="14" s="1"/>
  <c r="N61" i="14" s="1"/>
  <c r="D63" i="14"/>
  <c r="F63" i="14" s="1"/>
  <c r="L111" i="14"/>
  <c r="L119" i="14"/>
  <c r="L112" i="14"/>
  <c r="D52" i="14"/>
  <c r="F52" i="14" s="1"/>
  <c r="M52" i="14" s="1"/>
  <c r="D54" i="14"/>
  <c r="F54" i="14" s="1"/>
  <c r="M54" i="14" s="1"/>
  <c r="M76" i="14" s="1"/>
  <c r="D56" i="14"/>
  <c r="F56" i="14" s="1"/>
  <c r="M56" i="14" s="1"/>
  <c r="M78" i="14" s="1"/>
  <c r="D58" i="14"/>
  <c r="F58" i="14" s="1"/>
  <c r="G58" i="14" s="1"/>
  <c r="H58" i="14" s="1"/>
  <c r="I58" i="14" s="1"/>
  <c r="N58" i="14" s="1"/>
  <c r="N80" i="14" s="1"/>
  <c r="L115" i="14"/>
  <c r="D47" i="14"/>
  <c r="F47" i="14" s="1"/>
  <c r="G47" i="14" s="1"/>
  <c r="H47" i="14" s="1"/>
  <c r="L110" i="14"/>
  <c r="L118" i="14"/>
  <c r="L123" i="14"/>
  <c r="L120" i="14"/>
  <c r="L117" i="14"/>
  <c r="L114" i="14"/>
  <c r="L122" i="14"/>
  <c r="D57" i="14"/>
  <c r="F57" i="14" s="1"/>
  <c r="M57" i="14" s="1"/>
  <c r="D49" i="14"/>
  <c r="F49" i="14" s="1"/>
  <c r="M49" i="14" s="1"/>
  <c r="M71" i="14" s="1"/>
  <c r="L48" i="14"/>
  <c r="D55" i="14"/>
  <c r="F55" i="14" s="1"/>
  <c r="G55" i="14" s="1"/>
  <c r="H55" i="14" s="1"/>
  <c r="I55" i="14" s="1"/>
  <c r="N55" i="14" s="1"/>
  <c r="N77" i="14" s="1"/>
  <c r="D60" i="14"/>
  <c r="F60" i="14" s="1"/>
  <c r="G60" i="14" s="1"/>
  <c r="H60" i="14" s="1"/>
  <c r="I60" i="14" s="1"/>
  <c r="N60" i="14" s="1"/>
  <c r="D62" i="14"/>
  <c r="F62" i="14" s="1"/>
  <c r="M62" i="14" s="1"/>
  <c r="M84" i="14" s="1"/>
  <c r="D64" i="14"/>
  <c r="F64" i="14" s="1"/>
  <c r="M64" i="14" s="1"/>
  <c r="D50" i="14"/>
  <c r="F50" i="14" s="1"/>
  <c r="G50" i="14" s="1"/>
  <c r="H50" i="14" s="1"/>
  <c r="D48" i="14"/>
  <c r="F48" i="14" s="1"/>
  <c r="N69" i="14"/>
  <c r="L53" i="14"/>
  <c r="L61" i="14"/>
  <c r="D123" i="14" l="1"/>
  <c r="F123" i="14" s="1"/>
  <c r="M123" i="14" s="1"/>
  <c r="M15" i="19"/>
  <c r="F7" i="19"/>
  <c r="S15" i="19"/>
  <c r="K15" i="19"/>
  <c r="Q15" i="19"/>
  <c r="Q14" i="19"/>
  <c r="M14" i="19"/>
  <c r="S14" i="19"/>
  <c r="K14" i="19"/>
  <c r="L66" i="14"/>
  <c r="A127" i="14"/>
  <c r="E127" i="14" s="1"/>
  <c r="K127" i="14" s="1"/>
  <c r="K11" i="14" s="1"/>
  <c r="A67" i="14"/>
  <c r="K67" i="14" s="1"/>
  <c r="K5" i="14" s="1"/>
  <c r="G63" i="14"/>
  <c r="H63" i="14" s="1"/>
  <c r="I63" i="14" s="1"/>
  <c r="N63" i="14" s="1"/>
  <c r="N85" i="14" s="1"/>
  <c r="D109" i="14"/>
  <c r="F109" i="14" s="1"/>
  <c r="G109" i="14" s="1"/>
  <c r="H109" i="14" s="1"/>
  <c r="D111" i="14"/>
  <c r="F111" i="14" s="1"/>
  <c r="G111" i="14" s="1"/>
  <c r="H111" i="14" s="1"/>
  <c r="I111" i="14" s="1"/>
  <c r="N111" i="14" s="1"/>
  <c r="N134" i="14" s="1"/>
  <c r="G51" i="14"/>
  <c r="H51" i="14" s="1"/>
  <c r="I51" i="14" s="1"/>
  <c r="N51" i="14" s="1"/>
  <c r="N73" i="14" s="1"/>
  <c r="G53" i="14"/>
  <c r="H53" i="14" s="1"/>
  <c r="I53" i="14" s="1"/>
  <c r="N53" i="14" s="1"/>
  <c r="O53" i="14" s="1"/>
  <c r="M50" i="14"/>
  <c r="G59" i="14"/>
  <c r="H59" i="14" s="1"/>
  <c r="I59" i="14" s="1"/>
  <c r="N59" i="14" s="1"/>
  <c r="N81" i="14" s="1"/>
  <c r="G56" i="14"/>
  <c r="H56" i="14" s="1"/>
  <c r="I56" i="14" s="1"/>
  <c r="N56" i="14" s="1"/>
  <c r="O56" i="14" s="1"/>
  <c r="D118" i="14"/>
  <c r="F118" i="14" s="1"/>
  <c r="G118" i="14" s="1"/>
  <c r="H118" i="14" s="1"/>
  <c r="I118" i="14" s="1"/>
  <c r="N118" i="14" s="1"/>
  <c r="N141" i="14" s="1"/>
  <c r="D114" i="14"/>
  <c r="F114" i="14" s="1"/>
  <c r="M114" i="14" s="1"/>
  <c r="D115" i="14"/>
  <c r="F115" i="14" s="1"/>
  <c r="G115" i="14" s="1"/>
  <c r="H115" i="14" s="1"/>
  <c r="I115" i="14" s="1"/>
  <c r="N115" i="14" s="1"/>
  <c r="N138" i="14" s="1"/>
  <c r="D120" i="14"/>
  <c r="F120" i="14" s="1"/>
  <c r="M120" i="14" s="1"/>
  <c r="D107" i="14"/>
  <c r="F107" i="14" s="1"/>
  <c r="G107" i="14" s="1"/>
  <c r="H107" i="14" s="1"/>
  <c r="M119" i="14"/>
  <c r="M142" i="14" s="1"/>
  <c r="D110" i="14"/>
  <c r="F110" i="14" s="1"/>
  <c r="G110" i="14" s="1"/>
  <c r="H110" i="14" s="1"/>
  <c r="D121" i="14"/>
  <c r="F121" i="14" s="1"/>
  <c r="G121" i="14" s="1"/>
  <c r="H121" i="14" s="1"/>
  <c r="I121" i="14" s="1"/>
  <c r="N121" i="14" s="1"/>
  <c r="N144" i="14" s="1"/>
  <c r="D122" i="14"/>
  <c r="F122" i="14" s="1"/>
  <c r="M122" i="14" s="1"/>
  <c r="M145" i="14" s="1"/>
  <c r="M116" i="14"/>
  <c r="M139" i="14" s="1"/>
  <c r="D124" i="14"/>
  <c r="F124" i="14" s="1"/>
  <c r="M124" i="14" s="1"/>
  <c r="M147" i="14" s="1"/>
  <c r="D117" i="14"/>
  <c r="F117" i="14" s="1"/>
  <c r="G117" i="14" s="1"/>
  <c r="H117" i="14" s="1"/>
  <c r="D108" i="14"/>
  <c r="F108" i="14" s="1"/>
  <c r="M108" i="14" s="1"/>
  <c r="D113" i="14"/>
  <c r="F113" i="14" s="1"/>
  <c r="G113" i="14" s="1"/>
  <c r="H113" i="14" s="1"/>
  <c r="I113" i="14" s="1"/>
  <c r="N113" i="14" s="1"/>
  <c r="N136" i="14" s="1"/>
  <c r="G54" i="14"/>
  <c r="H54" i="14" s="1"/>
  <c r="I54" i="14" s="1"/>
  <c r="N54" i="14" s="1"/>
  <c r="M58" i="14"/>
  <c r="O58" i="14" s="1"/>
  <c r="O119" i="14"/>
  <c r="M112" i="14"/>
  <c r="M135" i="14" s="1"/>
  <c r="M60" i="14"/>
  <c r="M82" i="14" s="1"/>
  <c r="G52" i="14"/>
  <c r="H52" i="14" s="1"/>
  <c r="I52" i="14" s="1"/>
  <c r="N52" i="14" s="1"/>
  <c r="N74" i="14" s="1"/>
  <c r="M55" i="14"/>
  <c r="M77" i="14" s="1"/>
  <c r="M63" i="14"/>
  <c r="M47" i="14"/>
  <c r="M69" i="14" s="1"/>
  <c r="M61" i="14"/>
  <c r="M83" i="14" s="1"/>
  <c r="N139" i="14"/>
  <c r="G120" i="14"/>
  <c r="H120" i="14" s="1"/>
  <c r="I120" i="14" s="1"/>
  <c r="G49" i="14"/>
  <c r="H49" i="14" s="1"/>
  <c r="I49" i="14" s="1"/>
  <c r="N49" i="14" s="1"/>
  <c r="N71" i="14" s="1"/>
  <c r="G48" i="14"/>
  <c r="H48" i="14" s="1"/>
  <c r="I48" i="14" s="1"/>
  <c r="N48" i="14" s="1"/>
  <c r="I109" i="14"/>
  <c r="N109" i="14" s="1"/>
  <c r="N132" i="14" s="1"/>
  <c r="G62" i="14"/>
  <c r="H62" i="14" s="1"/>
  <c r="I62" i="14" s="1"/>
  <c r="N62" i="14" s="1"/>
  <c r="N84" i="14" s="1"/>
  <c r="M48" i="14"/>
  <c r="M70" i="14" s="1"/>
  <c r="G57" i="14"/>
  <c r="H57" i="14" s="1"/>
  <c r="I57" i="14" s="1"/>
  <c r="N57" i="14" s="1"/>
  <c r="G108" i="14"/>
  <c r="H108" i="14" s="1"/>
  <c r="I108" i="14" s="1"/>
  <c r="N108" i="14" s="1"/>
  <c r="N131" i="14" s="1"/>
  <c r="I112" i="14"/>
  <c r="N112" i="14" s="1"/>
  <c r="O54" i="14"/>
  <c r="M137" i="14"/>
  <c r="G123" i="14"/>
  <c r="H123" i="14" s="1"/>
  <c r="I123" i="14" s="1"/>
  <c r="N123" i="14" s="1"/>
  <c r="I110" i="14"/>
  <c r="N110" i="14" s="1"/>
  <c r="N133" i="14" s="1"/>
  <c r="M146" i="14"/>
  <c r="M79" i="14"/>
  <c r="I50" i="14"/>
  <c r="N50" i="14" s="1"/>
  <c r="N72" i="14" s="1"/>
  <c r="G64" i="14"/>
  <c r="H64" i="14" s="1"/>
  <c r="I64" i="14" s="1"/>
  <c r="N64" i="14" s="1"/>
  <c r="N86" i="14" s="1"/>
  <c r="N82" i="14"/>
  <c r="M75" i="14"/>
  <c r="O51" i="14"/>
  <c r="M85" i="14"/>
  <c r="N76" i="14"/>
  <c r="M72" i="14"/>
  <c r="M86" i="14"/>
  <c r="M74" i="14"/>
  <c r="O47" i="14"/>
  <c r="M80" i="14"/>
  <c r="N83" i="14"/>
  <c r="M107" i="14" l="1"/>
  <c r="O107" i="14" s="1"/>
  <c r="N120" i="14"/>
  <c r="N143" i="14" s="1"/>
  <c r="B101" i="14"/>
  <c r="D101" i="14" s="1"/>
  <c r="O63" i="14"/>
  <c r="C67" i="14"/>
  <c r="C5" i="14" s="1"/>
  <c r="B67" i="14"/>
  <c r="B5" i="14" s="1"/>
  <c r="E67" i="14"/>
  <c r="E5" i="14" s="1"/>
  <c r="B127" i="14"/>
  <c r="C127" i="14"/>
  <c r="C11" i="14" s="1"/>
  <c r="E11" i="14"/>
  <c r="O112" i="14"/>
  <c r="N75" i="14"/>
  <c r="M117" i="14"/>
  <c r="M140" i="14" s="1"/>
  <c r="I117" i="14"/>
  <c r="N117" i="14" s="1"/>
  <c r="N140" i="14" s="1"/>
  <c r="M111" i="14"/>
  <c r="M134" i="14" s="1"/>
  <c r="O52" i="14"/>
  <c r="M109" i="14"/>
  <c r="O109" i="14" s="1"/>
  <c r="N135" i="14"/>
  <c r="O62" i="14"/>
  <c r="O59" i="14"/>
  <c r="N78" i="14"/>
  <c r="M115" i="14"/>
  <c r="O115" i="14" s="1"/>
  <c r="G114" i="14"/>
  <c r="H114" i="14" s="1"/>
  <c r="I114" i="14" s="1"/>
  <c r="N114" i="14" s="1"/>
  <c r="O114" i="14" s="1"/>
  <c r="M118" i="14"/>
  <c r="M141" i="14" s="1"/>
  <c r="G122" i="14"/>
  <c r="H122" i="14" s="1"/>
  <c r="I122" i="14" s="1"/>
  <c r="N122" i="14" s="1"/>
  <c r="N145" i="14" s="1"/>
  <c r="M130" i="14"/>
  <c r="G124" i="14"/>
  <c r="H124" i="14" s="1"/>
  <c r="I124" i="14" s="1"/>
  <c r="N124" i="14" s="1"/>
  <c r="O124" i="14" s="1"/>
  <c r="O116" i="14"/>
  <c r="M113" i="14"/>
  <c r="M110" i="14"/>
  <c r="O110" i="14" s="1"/>
  <c r="M121" i="14"/>
  <c r="N137" i="14"/>
  <c r="O61" i="14"/>
  <c r="O60" i="14"/>
  <c r="O55" i="14"/>
  <c r="N79" i="14"/>
  <c r="O57" i="14"/>
  <c r="O49" i="14"/>
  <c r="N70" i="14"/>
  <c r="O48" i="14"/>
  <c r="N146" i="14"/>
  <c r="O123" i="14"/>
  <c r="M143" i="14"/>
  <c r="O120" i="14"/>
  <c r="M131" i="14"/>
  <c r="O108" i="14"/>
  <c r="M132" i="14"/>
  <c r="O64" i="14"/>
  <c r="O50" i="14"/>
  <c r="M138" i="14" l="1"/>
  <c r="O122" i="14"/>
  <c r="L67" i="14"/>
  <c r="L5" i="14" s="1"/>
  <c r="D67" i="14"/>
  <c r="F67" i="14" s="1"/>
  <c r="G67" i="14" s="1"/>
  <c r="H67" i="14" s="1"/>
  <c r="D127" i="14"/>
  <c r="F127" i="14" s="1"/>
  <c r="M127" i="14" s="1"/>
  <c r="M128" i="14" s="1"/>
  <c r="B11" i="14"/>
  <c r="L127" i="14"/>
  <c r="L11" i="14" s="1"/>
  <c r="O117" i="14"/>
  <c r="O111" i="14"/>
  <c r="N147" i="14"/>
  <c r="O118" i="14"/>
  <c r="M144" i="14"/>
  <c r="O121" i="14"/>
  <c r="M133" i="14"/>
  <c r="M136" i="14"/>
  <c r="O113" i="14"/>
  <c r="M67" i="14" l="1"/>
  <c r="M5" i="14" s="1"/>
  <c r="F5" i="14"/>
  <c r="F11" i="14"/>
  <c r="G127" i="14"/>
  <c r="H127" i="14" s="1"/>
  <c r="H11" i="14" s="1"/>
  <c r="D11" i="14"/>
  <c r="D5" i="14"/>
  <c r="G5" i="14"/>
  <c r="M11" i="14"/>
  <c r="I67" i="14"/>
  <c r="H5" i="14"/>
  <c r="F13" i="14" l="1"/>
  <c r="F12" i="14"/>
  <c r="M17" i="14"/>
  <c r="M13" i="14"/>
  <c r="M12" i="14"/>
  <c r="F6" i="14"/>
  <c r="F7" i="14"/>
  <c r="M7" i="14"/>
  <c r="M6" i="14"/>
  <c r="F17" i="14"/>
  <c r="F19" i="14" s="1"/>
  <c r="I127" i="14"/>
  <c r="N127" i="14" s="1"/>
  <c r="G11" i="14"/>
  <c r="M19" i="14"/>
  <c r="M18" i="14"/>
  <c r="N67" i="14"/>
  <c r="I5" i="14"/>
  <c r="I7" i="14" l="1"/>
  <c r="I6" i="14"/>
  <c r="I11" i="14"/>
  <c r="V17" i="12"/>
  <c r="V17" i="19"/>
  <c r="P17" i="12"/>
  <c r="P17" i="19"/>
  <c r="F18" i="14"/>
  <c r="N11" i="14"/>
  <c r="O127" i="14"/>
  <c r="O11" i="14" s="1"/>
  <c r="N5" i="14"/>
  <c r="O67" i="14"/>
  <c r="O5" i="14" s="1"/>
  <c r="N7" i="14" l="1"/>
  <c r="N6" i="14"/>
  <c r="I17" i="14"/>
  <c r="I19" i="14" s="1"/>
  <c r="I13" i="14"/>
  <c r="I12" i="14"/>
  <c r="N13" i="14"/>
  <c r="N12" i="14"/>
  <c r="N17" i="14"/>
  <c r="N18" i="14" s="1"/>
  <c r="Q31" i="12"/>
  <c r="O27" i="12"/>
  <c r="O28" i="12" s="1"/>
  <c r="O29" i="12" s="1"/>
  <c r="O30" i="12" s="1"/>
  <c r="O31" i="12" s="1"/>
  <c r="T15" i="12"/>
  <c r="T14" i="12"/>
  <c r="T13" i="12"/>
  <c r="T11" i="12"/>
  <c r="T12" i="12"/>
  <c r="R11" i="12"/>
  <c r="N15" i="12"/>
  <c r="N14" i="12"/>
  <c r="N13" i="12"/>
  <c r="N12" i="12"/>
  <c r="N11" i="12"/>
  <c r="P26" i="12" s="1"/>
  <c r="L11" i="12"/>
  <c r="J11" i="12"/>
  <c r="J12" i="12" s="1"/>
  <c r="J7" i="12" s="1"/>
  <c r="H7" i="12"/>
  <c r="G7" i="12"/>
  <c r="C12" i="12"/>
  <c r="G12" i="15" s="1"/>
  <c r="I12" i="15" a="1"/>
  <c r="H12" i="15" a="1"/>
  <c r="N19" i="14" l="1"/>
  <c r="I18" i="14"/>
  <c r="H12" i="15"/>
  <c r="I12" i="15"/>
  <c r="Q26" i="12"/>
  <c r="Q27" i="12"/>
  <c r="C11" i="12"/>
  <c r="F11" i="12" s="1"/>
  <c r="M11" i="12" s="1"/>
  <c r="C13" i="12"/>
  <c r="B12" i="15" s="1"/>
  <c r="F12" i="12"/>
  <c r="Q12" i="12" s="1"/>
  <c r="J13" i="12"/>
  <c r="C12" i="15" a="1"/>
  <c r="D12" i="15" a="1"/>
  <c r="D12" i="15" l="1"/>
  <c r="C12" i="15"/>
  <c r="Q11" i="12"/>
  <c r="S11" i="12"/>
  <c r="A4" i="14"/>
  <c r="B100" i="14" s="1"/>
  <c r="D100" i="14" s="1"/>
  <c r="A10" i="14"/>
  <c r="K11" i="12"/>
  <c r="O11" i="12" s="1"/>
  <c r="P11" i="12" s="1"/>
  <c r="P27" i="12" s="1"/>
  <c r="J14" i="12"/>
  <c r="Q28" i="12"/>
  <c r="F13" i="12"/>
  <c r="Q13" i="12" s="1"/>
  <c r="C14" i="12"/>
  <c r="S12" i="12"/>
  <c r="M12" i="12"/>
  <c r="K12" i="12"/>
  <c r="D12" i="12" l="1"/>
  <c r="R12" i="12" s="1"/>
  <c r="U12" i="12" s="1"/>
  <c r="R12" i="19"/>
  <c r="U12" i="19" s="1"/>
  <c r="V12" i="19" s="1"/>
  <c r="E14" i="19"/>
  <c r="L13" i="19"/>
  <c r="O13" i="19" s="1"/>
  <c r="D14" i="19"/>
  <c r="R13" i="19"/>
  <c r="U13" i="19" s="1"/>
  <c r="E12" i="12"/>
  <c r="L12" i="12" s="1"/>
  <c r="O12" i="12" s="1"/>
  <c r="P12" i="12" s="1"/>
  <c r="P28" i="12" s="1"/>
  <c r="L12" i="19"/>
  <c r="O12" i="19" s="1"/>
  <c r="P12" i="19" s="1"/>
  <c r="P28" i="19" s="1"/>
  <c r="K13" i="12"/>
  <c r="U11" i="12"/>
  <c r="V11" i="12" s="1"/>
  <c r="L10" i="14"/>
  <c r="A11" i="14"/>
  <c r="F14" i="12"/>
  <c r="Q14" i="12" s="1"/>
  <c r="C15" i="12"/>
  <c r="F15" i="12" s="1"/>
  <c r="Q15" i="12" s="1"/>
  <c r="M13" i="12"/>
  <c r="S13" i="12"/>
  <c r="D13" i="12"/>
  <c r="E13" i="12"/>
  <c r="J15" i="12"/>
  <c r="Q30" i="12" s="1"/>
  <c r="Q29" i="12"/>
  <c r="V13" i="19" l="1"/>
  <c r="R14" i="19"/>
  <c r="U14" i="19" s="1"/>
  <c r="D15" i="19"/>
  <c r="R15" i="19" s="1"/>
  <c r="U15" i="19" s="1"/>
  <c r="P13" i="19"/>
  <c r="P29" i="19" s="1"/>
  <c r="L14" i="19"/>
  <c r="O14" i="19" s="1"/>
  <c r="E15" i="19"/>
  <c r="L15" i="19" s="1"/>
  <c r="O15" i="19" s="1"/>
  <c r="L13" i="12"/>
  <c r="O13" i="12" s="1"/>
  <c r="P13" i="12" s="1"/>
  <c r="P29" i="12" s="1"/>
  <c r="E14" i="12"/>
  <c r="R13" i="12"/>
  <c r="U13" i="12" s="1"/>
  <c r="D14" i="12"/>
  <c r="F7" i="12"/>
  <c r="M15" i="12"/>
  <c r="S15" i="12"/>
  <c r="K15" i="12"/>
  <c r="M14" i="12"/>
  <c r="S14" i="12"/>
  <c r="K14" i="12"/>
  <c r="V12" i="12"/>
  <c r="P14" i="19" l="1"/>
  <c r="P15" i="19" s="1"/>
  <c r="V14" i="19"/>
  <c r="V15" i="19" s="1"/>
  <c r="U7" i="19" s="1"/>
  <c r="D15" i="12"/>
  <c r="R15" i="12" s="1"/>
  <c r="U15" i="12" s="1"/>
  <c r="R14" i="12"/>
  <c r="U14" i="12" s="1"/>
  <c r="V13" i="12"/>
  <c r="E15" i="12"/>
  <c r="L15" i="12" s="1"/>
  <c r="O15" i="12" s="1"/>
  <c r="L14" i="12"/>
  <c r="O14" i="12" s="1"/>
  <c r="P14" i="12" s="1"/>
  <c r="P30" i="12" s="1"/>
  <c r="U9" i="19" l="1"/>
  <c r="U8" i="19"/>
  <c r="P30" i="19"/>
  <c r="O7" i="19"/>
  <c r="P18" i="19"/>
  <c r="P31" i="19"/>
  <c r="V14" i="12"/>
  <c r="V15" i="12" s="1"/>
  <c r="U7" i="12" s="1"/>
  <c r="P15" i="12"/>
  <c r="O9" i="19" l="1"/>
  <c r="O8" i="19"/>
  <c r="U9" i="12"/>
  <c r="U8" i="12"/>
  <c r="O7" i="12"/>
  <c r="P18" i="12"/>
  <c r="P31" i="12"/>
  <c r="O9" i="12" l="1"/>
  <c r="O8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<sst xmlns="http://schemas.openxmlformats.org/spreadsheetml/2006/main" count="237" uniqueCount="95">
  <si>
    <t>il</t>
  </si>
  <si>
    <t>im</t>
  </si>
  <si>
    <t>m</t>
  </si>
  <si>
    <t>m/sec</t>
  </si>
  <si>
    <t>C</t>
  </si>
  <si>
    <t>v</t>
  </si>
  <si>
    <t>q</t>
  </si>
  <si>
    <t>in 0.6m pipe</t>
  </si>
  <si>
    <t>Pipe</t>
  </si>
  <si>
    <t>dia</t>
  </si>
  <si>
    <t>L</t>
  </si>
  <si>
    <t>K</t>
  </si>
  <si>
    <t>Rhol</t>
  </si>
  <si>
    <t>Rhom</t>
  </si>
  <si>
    <t>z</t>
  </si>
  <si>
    <t>Htot_l</t>
  </si>
  <si>
    <t>Htot_m</t>
  </si>
  <si>
    <t>No Fittings or elev</t>
  </si>
  <si>
    <t>Entrance</t>
  </si>
  <si>
    <t>MP Suction</t>
  </si>
  <si>
    <t>MP Disch</t>
  </si>
  <si>
    <t>Dr Disch</t>
  </si>
  <si>
    <t>Hfit_m</t>
  </si>
  <si>
    <t>Total</t>
  </si>
  <si>
    <t>Hv</t>
  </si>
  <si>
    <t>Notes:</t>
  </si>
  <si>
    <t>dz</t>
  </si>
  <si>
    <t>Hm_fric</t>
  </si>
  <si>
    <t>Hz_m</t>
  </si>
  <si>
    <t>Hvel</t>
  </si>
  <si>
    <t>Hcum_m</t>
  </si>
  <si>
    <t>Position</t>
  </si>
  <si>
    <t>Head</t>
  </si>
  <si>
    <t>Elevation</t>
  </si>
  <si>
    <t>Hl_fric</t>
  </si>
  <si>
    <t>Hfit_l</t>
  </si>
  <si>
    <t>Hz_l</t>
  </si>
  <si>
    <t>Hcum_l</t>
  </si>
  <si>
    <t>Hz for the Entrance uses the fluid density to model the static pressure available at the suction</t>
  </si>
  <si>
    <t>il, im is calculated with the slurry object: e.g. s=Slurry(); s.Dp=0.6; s.il(6.59)</t>
  </si>
  <si>
    <t>Impeller (OD)</t>
  </si>
  <si>
    <t xml:space="preserve">In = </t>
  </si>
  <si>
    <t>Suction (ED)</t>
  </si>
  <si>
    <t>Discharge (DD)</t>
  </si>
  <si>
    <t>N</t>
  </si>
  <si>
    <t>RPM =</t>
  </si>
  <si>
    <t>Hz</t>
  </si>
  <si>
    <t>U2</t>
  </si>
  <si>
    <t>OD/ED</t>
  </si>
  <si>
    <t>Driver P</t>
  </si>
  <si>
    <t>HP =</t>
  </si>
  <si>
    <t>kW</t>
  </si>
  <si>
    <t>Design Density</t>
  </si>
  <si>
    <t>s.g.</t>
  </si>
  <si>
    <t>Design Velocity</t>
  </si>
  <si>
    <t>ft/sec =</t>
  </si>
  <si>
    <t>Pavail</t>
  </si>
  <si>
    <t>Gravity</t>
  </si>
  <si>
    <t>ft/sec2 =</t>
  </si>
  <si>
    <t>m/sec2</t>
  </si>
  <si>
    <t>t/m3</t>
  </si>
  <si>
    <t>C150</t>
  </si>
  <si>
    <t>C100</t>
  </si>
  <si>
    <t>Q</t>
  </si>
  <si>
    <t>H</t>
  </si>
  <si>
    <t>NS</t>
  </si>
  <si>
    <t>Eff</t>
  </si>
  <si>
    <t>Power</t>
  </si>
  <si>
    <t>v m/sec</t>
  </si>
  <si>
    <t>Q m3/sec</t>
  </si>
  <si>
    <t>H m</t>
  </si>
  <si>
    <t>P kW</t>
  </si>
  <si>
    <t>m/sec in</t>
  </si>
  <si>
    <t>m pipe</t>
  </si>
  <si>
    <t>Underwater Pump</t>
  </si>
  <si>
    <t>UWP</t>
  </si>
  <si>
    <t>MP</t>
  </si>
  <si>
    <t>Total Fresh Water</t>
  </si>
  <si>
    <t>Total Salt Water at</t>
  </si>
  <si>
    <t xml:space="preserve">Total Slurry at </t>
  </si>
  <si>
    <t>Slurry in 0.500 m pipe</t>
  </si>
  <si>
    <t>D15/D50/D85 (mm)</t>
  </si>
  <si>
    <t xml:space="preserve"> 0.500/1.000/2.720</t>
  </si>
  <si>
    <t>Solids Concentration (Cvs, -)</t>
  </si>
  <si>
    <t>Insitu Concentration (Cvi, -)</t>
  </si>
  <si>
    <t>Fluid Density (Rhos, ton/m3)</t>
  </si>
  <si>
    <t>Solids Density (Rhos, ton/m3)</t>
  </si>
  <si>
    <t>Slurry Density (Rhom, ton/m3)</t>
  </si>
  <si>
    <t>Insitu Density (Rhoi, ton/m3)</t>
  </si>
  <si>
    <t>v (m/sec)</t>
  </si>
  <si>
    <t>Slurry in 0.600 m pipe</t>
  </si>
  <si>
    <t>In the test Pipeline:</t>
  </si>
  <si>
    <t>Pump Head</t>
  </si>
  <si>
    <t>Testing qimin</t>
  </si>
  <si>
    <t>No Elev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</si>
</sst>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0000"/>
    <numFmt numFmtId="165" formatCode="0.00000000"/>
    <numFmt numFmtId="166" formatCode="0.0"/>
    <numFmt numFmtId="167" formatCode="0.00000"/>
    <numFmt numFmtId="168" formatCode="0.000"/>
    <numFmt numFmtId="169" formatCode="0.000E+00"/>
    <numFmt numFmtId="170" formatCode="0.0%"/>
    <numFmt numFmtId="171" formatCode="0.000%"/>
    <numFmt numFmtId="172" formatCode="_(* #,##0_);_(* \(#,##0\);_(* &quot;-&quot;??_);_(@_)"/>
    <numFmt numFmtId="173" formatCode="0.0000"/>
    <numFmt numFmtId="174" formatCode="_(* #,##0.0000_);_(* \(#,##0.0000\);_(* &quot;-&quot;????_);_(@_)"/>
  </numFmts>
  <fonts count="7">
    <font>
      <sz val="10"/>
      <color indexed="8"/>
      <name val="Sans"/>
    </font>
    <font>
      <sz val="10"/>
      <name val="Arial"/>
    </font>
    <font>
      <b/>
      <sz val="10"/>
      <color indexed="8"/>
      <name val="Sans"/>
    </font>
    <font>
      <b/>
      <sz val="11"/>
      <color theme="1"/>
      <name val="Calibri"/>
      <family val="2"/>
      <scheme val="minor"/>
    </font>
    <font>
      <sz val="10"/>
      <color rgb="FF00B0F0"/>
      <name val="Sans"/>
    </font>
    <font>
      <b/>
      <sz val="12"/>
      <color indexed="8"/>
      <name val="Sans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ill="0" applyBorder="0" applyAlignment="0" applyProtection="0"/>
    <xf numFmtId="9" fontId="1" fillId="0" borderId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2" fontId="0" fillId="0" borderId="0" xfId="0" applyNumberFormat="1"/>
    <xf numFmtId="168" fontId="0" fillId="0" borderId="0" xfId="0" applyNumberFormat="1"/>
    <xf numFmtId="165" fontId="0" fillId="0" borderId="0" xfId="0" applyNumberFormat="1"/>
    <xf numFmtId="164" fontId="0" fillId="0" borderId="0" xfId="0" applyNumberFormat="1"/>
    <xf numFmtId="0" fontId="4" fillId="0" borderId="0" xfId="0" applyFont="1"/>
    <xf numFmtId="168" fontId="2" fillId="0" borderId="0" xfId="0" applyNumberFormat="1" applyFont="1"/>
    <xf numFmtId="167" fontId="0" fillId="0" borderId="0" xfId="0" applyNumberFormat="1"/>
    <xf numFmtId="166" fontId="0" fillId="0" borderId="0" xfId="0" applyNumberFormat="1"/>
    <xf numFmtId="0" fontId="3" fillId="0" borderId="0" xfId="0" applyFont="1"/>
    <xf numFmtId="0" fontId="0" fillId="3" borderId="0" xfId="0" applyFill="1"/>
    <xf numFmtId="171" fontId="0" fillId="0" borderId="0" xfId="2" applyNumberFormat="1" applyFont="1"/>
    <xf numFmtId="0" fontId="5" fillId="0" borderId="0" xfId="0" applyFont="1"/>
    <xf numFmtId="172" fontId="1" fillId="0" borderId="0" xfId="1" applyNumberFormat="1"/>
    <xf numFmtId="1" fontId="0" fillId="0" borderId="0" xfId="0" applyNumberFormat="1"/>
    <xf numFmtId="172" fontId="0" fillId="0" borderId="0" xfId="1" applyNumberFormat="1" applyFont="1"/>
    <xf numFmtId="170" fontId="0" fillId="0" borderId="0" xfId="2" applyNumberFormat="1" applyFont="1"/>
    <xf numFmtId="169" fontId="0" fillId="0" borderId="0" xfId="0" applyNumberFormat="1"/>
    <xf numFmtId="2" fontId="6" fillId="0" borderId="0" xfId="0" applyNumberFormat="1" applyFont="1"/>
    <xf numFmtId="168" fontId="3" fillId="0" borderId="0" xfId="0" applyNumberFormat="1" applyFont="1"/>
    <xf numFmtId="166" fontId="3" fillId="0" borderId="0" xfId="0" applyNumberFormat="1" applyFont="1"/>
    <xf numFmtId="173" fontId="0" fillId="0" borderId="0" xfId="0" applyNumberFormat="1"/>
    <xf numFmtId="174" fontId="0" fillId="0" borderId="0" xfId="0" applyNumberFormat="1"/>
    <xf numFmtId="172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Head</a:t>
            </a:r>
            <a:r>
              <a:rPr lang="en-US" baseline="0"/>
              <a:t> losses/m in 500mm pipe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 Slurries'!$C$18</c:f>
              <c:strCache>
                <c:ptCount val="1"/>
                <c:pt idx="0">
                  <c:v>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'Test Slurries'!$B$19:$B$116</c:f>
              <c:numCache>
                <c:formatCode>General</c:formatCode>
                <c:ptCount val="9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</c:numCache>
            </c:numRef>
          </c:xVal>
          <c:yVal>
            <c:numRef>
              <c:f>'Test Slurries'!$C$19:$C$116</c:f>
              <c:numCache>
                <c:formatCode>0.000E+00</c:formatCode>
                <c:ptCount val="98"/>
                <c:pt idx="0">
                  <c:v>2.17719495080065E-5</c:v>
                </c:pt>
                <c:pt idx="1">
                  <c:v>7.5736383467902202E-5</c:v>
                </c:pt>
                <c:pt idx="2">
                  <c:v>1.5833281858725301E-4</c:v>
                </c:pt>
                <c:pt idx="3">
                  <c:v>2.6822389627501698E-4</c:v>
                </c:pt>
                <c:pt idx="4">
                  <c:v>4.04652656587182E-4</c:v>
                </c:pt>
                <c:pt idx="5">
                  <c:v>5.6712636175839997E-4</c:v>
                </c:pt>
                <c:pt idx="6">
                  <c:v>7.5529813062719597E-4</c:v>
                </c:pt>
                <c:pt idx="7">
                  <c:v>9.6891088635134499E-4</c:v>
                </c:pt>
                <c:pt idx="8">
                  <c:v>1.20776696502215E-3</c:v>
                </c:pt>
                <c:pt idx="9">
                  <c:v>1.47171008460453E-3</c:v>
                </c:pt>
                <c:pt idx="10">
                  <c:v>1.7606139299392899E-3</c:v>
                </c:pt>
                <c:pt idx="11">
                  <c:v>2.07437456122207E-3</c:v>
                </c:pt>
                <c:pt idx="12">
                  <c:v>2.4129051653420598E-3</c:v>
                </c:pt>
                <c:pt idx="13">
                  <c:v>2.7761323109353401E-3</c:v>
                </c:pt>
                <c:pt idx="14">
                  <c:v>3.1639932056492302E-3</c:v>
                </c:pt>
                <c:pt idx="15">
                  <c:v>3.5764336426289001E-3</c:v>
                </c:pt>
                <c:pt idx="16">
                  <c:v>4.0134064337058297E-3</c:v>
                </c:pt>
                <c:pt idx="17">
                  <c:v>4.4748701941731001E-3</c:v>
                </c:pt>
                <c:pt idx="18">
                  <c:v>4.9607883866013497E-3</c:v>
                </c:pt>
                <c:pt idx="19">
                  <c:v>5.4711285588399401E-3</c:v>
                </c:pt>
                <c:pt idx="20">
                  <c:v>6.00586172983145E-3</c:v>
                </c:pt>
                <c:pt idx="21">
                  <c:v>6.5649618894889402E-3</c:v>
                </c:pt>
                <c:pt idx="22">
                  <c:v>7.14840558767785E-3</c:v>
                </c:pt>
                <c:pt idx="23">
                  <c:v>7.7561715935818201E-3</c:v>
                </c:pt>
                <c:pt idx="24">
                  <c:v>8.3882406112277593E-3</c:v>
                </c:pt>
                <c:pt idx="25">
                  <c:v>9.0445950402342698E-3</c:v>
                </c:pt>
                <c:pt idx="26">
                  <c:v>9.7252187732860106E-3</c:v>
                </c:pt>
                <c:pt idx="27">
                  <c:v>1.0430097023665499E-2</c:v>
                </c:pt>
                <c:pt idx="28">
                  <c:v>1.1159216177562801E-2</c:v>
                </c:pt>
                <c:pt idx="29">
                  <c:v>1.1912563666945699E-2</c:v>
                </c:pt>
                <c:pt idx="30">
                  <c:v>1.26901278595993E-2</c:v>
                </c:pt>
                <c:pt idx="31">
                  <c:v>1.3491897963584701E-2</c:v>
                </c:pt>
                <c:pt idx="32">
                  <c:v>1.4317863943872199E-2</c:v>
                </c:pt>
                <c:pt idx="33">
                  <c:v>1.51680164493088E-2</c:v>
                </c:pt>
                <c:pt idx="34">
                  <c:v>1.6042346748395601E-2</c:v>
                </c:pt>
                <c:pt idx="35">
                  <c:v>1.6940846672614501E-2</c:v>
                </c:pt>
                <c:pt idx="36">
                  <c:v>1.78635085662463E-2</c:v>
                </c:pt>
                <c:pt idx="37">
                  <c:v>1.8810325241796301E-2</c:v>
                </c:pt>
                <c:pt idx="38">
                  <c:v>1.9781289940282502E-2</c:v>
                </c:pt>
                <c:pt idx="39">
                  <c:v>2.07763962957512E-2</c:v>
                </c:pt>
                <c:pt idx="40">
                  <c:v>2.17956383034873E-2</c:v>
                </c:pt>
                <c:pt idx="41">
                  <c:v>2.2839010291457702E-2</c:v>
                </c:pt>
                <c:pt idx="42">
                  <c:v>2.39065068945968E-2</c:v>
                </c:pt>
                <c:pt idx="43">
                  <c:v>2.4998123031595699E-2</c:v>
                </c:pt>
                <c:pt idx="44">
                  <c:v>2.6113853883904501E-2</c:v>
                </c:pt>
                <c:pt idx="45">
                  <c:v>2.7253694876695302E-2</c:v>
                </c:pt>
                <c:pt idx="46">
                  <c:v>2.8417641661566E-2</c:v>
                </c:pt>
                <c:pt idx="47">
                  <c:v>2.96056901007965E-2</c:v>
                </c:pt>
                <c:pt idx="48">
                  <c:v>3.08178362529886E-2</c:v>
                </c:pt>
                <c:pt idx="49">
                  <c:v>3.20540763599447E-2</c:v>
                </c:pt>
                <c:pt idx="50">
                  <c:v>3.3314406834657799E-2</c:v>
                </c:pt>
                <c:pt idx="51">
                  <c:v>3.4598824250298602E-2</c:v>
                </c:pt>
                <c:pt idx="52">
                  <c:v>3.5907325330102199E-2</c:v>
                </c:pt>
                <c:pt idx="53">
                  <c:v>3.7239906938064601E-2</c:v>
                </c:pt>
                <c:pt idx="54">
                  <c:v>3.8596566070371999E-2</c:v>
                </c:pt>
                <c:pt idx="55">
                  <c:v>3.9977299847493798E-2</c:v>
                </c:pt>
                <c:pt idx="56">
                  <c:v>4.13821055068768E-2</c:v>
                </c:pt>
                <c:pt idx="57">
                  <c:v>4.2810980396185902E-2</c:v>
                </c:pt>
                <c:pt idx="58">
                  <c:v>4.4263921967042999E-2</c:v>
                </c:pt>
                <c:pt idx="59">
                  <c:v>4.5740927769218301E-2</c:v>
                </c:pt>
                <c:pt idx="60">
                  <c:v>4.7241995445236301E-2</c:v>
                </c:pt>
                <c:pt idx="61">
                  <c:v>4.8767122725359803E-2</c:v>
                </c:pt>
                <c:pt idx="62">
                  <c:v>5.0316307422920002E-2</c:v>
                </c:pt>
                <c:pt idx="63">
                  <c:v>5.1889547429965002E-2</c:v>
                </c:pt>
                <c:pt idx="64">
                  <c:v>5.3486840713198702E-2</c:v>
                </c:pt>
                <c:pt idx="65">
                  <c:v>5.5108185310189003E-2</c:v>
                </c:pt>
                <c:pt idx="66">
                  <c:v>5.6753579325821403E-2</c:v>
                </c:pt>
                <c:pt idx="67">
                  <c:v>5.8423020928980503E-2</c:v>
                </c:pt>
                <c:pt idx="68">
                  <c:v>6.0116508349441197E-2</c:v>
                </c:pt>
                <c:pt idx="69">
                  <c:v>6.1834039874953499E-2</c:v>
                </c:pt>
                <c:pt idx="70">
                  <c:v>6.3575613848506199E-2</c:v>
                </c:pt>
                <c:pt idx="71">
                  <c:v>6.5341228665756604E-2</c:v>
                </c:pt>
                <c:pt idx="72">
                  <c:v>6.7130882772613795E-2</c:v>
                </c:pt>
                <c:pt idx="73">
                  <c:v>6.8944574662964594E-2</c:v>
                </c:pt>
                <c:pt idx="74">
                  <c:v>7.0782302876531505E-2</c:v>
                </c:pt>
                <c:pt idx="75">
                  <c:v>7.2644065996854107E-2</c:v>
                </c:pt>
                <c:pt idx="76">
                  <c:v>7.4529862649384701E-2</c:v>
                </c:pt>
                <c:pt idx="77">
                  <c:v>7.6439691499690404E-2</c:v>
                </c:pt>
                <c:pt idx="78">
                  <c:v>7.8373551251755103E-2</c:v>
                </c:pt>
                <c:pt idx="79">
                  <c:v>8.0331440646373695E-2</c:v>
                </c:pt>
                <c:pt idx="80">
                  <c:v>8.2313358459632793E-2</c:v>
                </c:pt>
                <c:pt idx="81">
                  <c:v>8.4319303501473E-2</c:v>
                </c:pt>
                <c:pt idx="82">
                  <c:v>8.6349274614325899E-2</c:v>
                </c:pt>
                <c:pt idx="83">
                  <c:v>8.8403270671822895E-2</c:v>
                </c:pt>
                <c:pt idx="84">
                  <c:v>9.0481290577569706E-2</c:v>
                </c:pt>
                <c:pt idx="85">
                  <c:v>9.25833332639832E-2</c:v>
                </c:pt>
                <c:pt idx="86">
                  <c:v>9.4709397691187094E-2</c:v>
                </c:pt>
                <c:pt idx="87">
                  <c:v>9.68594828459617E-2</c:v>
                </c:pt>
                <c:pt idx="88">
                  <c:v>9.9033587740745804E-2</c:v>
                </c:pt>
                <c:pt idx="89">
                  <c:v>0.101231711412686</c:v>
                </c:pt>
                <c:pt idx="90">
                  <c:v>0.103453852922736</c:v>
                </c:pt>
                <c:pt idx="91">
                  <c:v>0.105700011354788</c:v>
                </c:pt>
                <c:pt idx="92">
                  <c:v>0.107970185814858</c:v>
                </c:pt>
                <c:pt idx="93">
                  <c:v>0.110264375430303</c:v>
                </c:pt>
                <c:pt idx="94">
                  <c:v>0.112582579349069</c:v>
                </c:pt>
                <c:pt idx="95">
                  <c:v>0.114924796738983</c:v>
                </c:pt>
                <c:pt idx="96">
                  <c:v>0.117291026787068</c:v>
                </c:pt>
                <c:pt idx="97">
                  <c:v>0.119681268698898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3-4D7E-BFF8-3B7F4FA333FE}"/>
            </c:ext>
          </c:extLst>
        </c:ser>
        <c:ser>
          <c:idx val="1"/>
          <c:order val="1"/>
          <c:tx>
            <c:strRef>
              <c:f>'Test Slurries'!$D$18</c:f>
              <c:strCache>
                <c:ptCount val="1"/>
                <c:pt idx="0">
                  <c:v>im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 Slurries'!$B$19:$B$116</c:f>
              <c:numCache>
                <c:formatCode>General</c:formatCode>
                <c:ptCount val="9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</c:numCache>
            </c:numRef>
          </c:xVal>
          <c:yVal>
            <c:numRef>
              <c:f>'Test Slurries'!$D$19:$D$116</c:f>
              <c:numCache>
                <c:formatCode>0.000E+00</c:formatCode>
                <c:ptCount val="98"/>
                <c:pt idx="0">
                  <c:v>0.34711558580749502</c:v>
                </c:pt>
                <c:pt idx="1">
                  <c:v>0.34117960829938498</c:v>
                </c:pt>
                <c:pt idx="2">
                  <c:v>0.33487311480878001</c:v>
                </c:pt>
                <c:pt idx="3">
                  <c:v>0.32835374128494499</c:v>
                </c:pt>
                <c:pt idx="4">
                  <c:v>0.32172102994332302</c:v>
                </c:pt>
                <c:pt idx="5">
                  <c:v>0.31504564105281702</c:v>
                </c:pt>
                <c:pt idx="6">
                  <c:v>0.308380486899339</c:v>
                </c:pt>
                <c:pt idx="7">
                  <c:v>0.30176627400880801</c:v>
                </c:pt>
                <c:pt idx="8">
                  <c:v>0.29523473274034401</c:v>
                </c:pt>
                <c:pt idx="9">
                  <c:v>0.28881070834511802</c:v>
                </c:pt>
                <c:pt idx="10">
                  <c:v>0.282513618914433</c:v>
                </c:pt>
                <c:pt idx="11">
                  <c:v>0.27635852734657901</c:v>
                </c:pt>
                <c:pt idx="12">
                  <c:v>0.27035696037027301</c:v>
                </c:pt>
                <c:pt idx="13">
                  <c:v>0.26451755198848897</c:v>
                </c:pt>
                <c:pt idx="14">
                  <c:v>0.25884655932467698</c:v>
                </c:pt>
                <c:pt idx="15">
                  <c:v>0.25334828231328599</c:v>
                </c:pt>
                <c:pt idx="16">
                  <c:v>0.248025408836721</c:v>
                </c:pt>
                <c:pt idx="17">
                  <c:v>0.24287930076491801</c:v>
                </c:pt>
                <c:pt idx="18">
                  <c:v>0.23791023234339001</c:v>
                </c:pt>
                <c:pt idx="19">
                  <c:v>0.233117589653038</c:v>
                </c:pt>
                <c:pt idx="20">
                  <c:v>0.22850003794930199</c:v>
                </c:pt>
                <c:pt idx="21">
                  <c:v>0.22359341044306899</c:v>
                </c:pt>
                <c:pt idx="22">
                  <c:v>0.21720659140954099</c:v>
                </c:pt>
                <c:pt idx="23">
                  <c:v>0.21081266373298699</c:v>
                </c:pt>
                <c:pt idx="24">
                  <c:v>0.20351802293502999</c:v>
                </c:pt>
                <c:pt idx="25">
                  <c:v>0.19600040246473799</c:v>
                </c:pt>
                <c:pt idx="26">
                  <c:v>0.188705613473796</c:v>
                </c:pt>
                <c:pt idx="27">
                  <c:v>0.18072672767345499</c:v>
                </c:pt>
                <c:pt idx="28">
                  <c:v>0.17310601762217101</c:v>
                </c:pt>
                <c:pt idx="29">
                  <c:v>0.16569543095308001</c:v>
                </c:pt>
                <c:pt idx="30">
                  <c:v>0.15841174297279301</c:v>
                </c:pt>
                <c:pt idx="31">
                  <c:v>0.15129092516554901</c:v>
                </c:pt>
                <c:pt idx="32">
                  <c:v>0.14421788415048301</c:v>
                </c:pt>
                <c:pt idx="33">
                  <c:v>0.137071239851495</c:v>
                </c:pt>
                <c:pt idx="34">
                  <c:v>0.129997450726208</c:v>
                </c:pt>
                <c:pt idx="35">
                  <c:v>0.123653688895214</c:v>
                </c:pt>
                <c:pt idx="36">
                  <c:v>0.117960301132904</c:v>
                </c:pt>
                <c:pt idx="37">
                  <c:v>0.112848339998946</c:v>
                </c:pt>
                <c:pt idx="38">
                  <c:v>0.10825790212105001</c:v>
                </c:pt>
                <c:pt idx="39">
                  <c:v>0.104136757513503</c:v>
                </c:pt>
                <c:pt idx="40">
                  <c:v>0.100439213399855</c:v>
                </c:pt>
                <c:pt idx="41">
                  <c:v>9.7125168024762495E-2</c:v>
                </c:pt>
                <c:pt idx="42">
                  <c:v>9.4159319191068E-2</c:v>
                </c:pt>
                <c:pt idx="43">
                  <c:v>9.1510499426870298E-2</c:v>
                </c:pt>
                <c:pt idx="44">
                  <c:v>8.9151115276857595E-2</c:v>
                </c:pt>
                <c:pt idx="45">
                  <c:v>8.7056672596306298E-2</c:v>
                </c:pt>
                <c:pt idx="46">
                  <c:v>8.5205373184131294E-2</c:v>
                </c:pt>
                <c:pt idx="47">
                  <c:v>8.3577770833583795E-2</c:v>
                </c:pt>
                <c:pt idx="48">
                  <c:v>8.2156477064923003E-2</c:v>
                </c:pt>
                <c:pt idx="49">
                  <c:v>8.0925908555124507E-2</c:v>
                </c:pt>
                <c:pt idx="50">
                  <c:v>7.9872069688576894E-2</c:v>
                </c:pt>
                <c:pt idx="51">
                  <c:v>7.8982364791610707E-2</c:v>
                </c:pt>
                <c:pt idx="52">
                  <c:v>7.8245435538304695E-2</c:v>
                </c:pt>
                <c:pt idx="53">
                  <c:v>7.7651019768745999E-2</c:v>
                </c:pt>
                <c:pt idx="54">
                  <c:v>7.7189828577807595E-2</c:v>
                </c:pt>
                <c:pt idx="55">
                  <c:v>7.6853439039309995E-2</c:v>
                </c:pt>
                <c:pt idx="56">
                  <c:v>7.6634200348334E-2</c:v>
                </c:pt>
                <c:pt idx="57">
                  <c:v>7.6525151510258696E-2</c:v>
                </c:pt>
                <c:pt idx="58">
                  <c:v>7.6519948992220893E-2</c:v>
                </c:pt>
                <c:pt idx="59">
                  <c:v>7.6612802991879794E-2</c:v>
                </c:pt>
                <c:pt idx="60">
                  <c:v>7.6798421178241205E-2</c:v>
                </c:pt>
                <c:pt idx="61">
                  <c:v>7.7071958926841905E-2</c:v>
                </c:pt>
                <c:pt idx="62">
                  <c:v>7.7428975212440895E-2</c:v>
                </c:pt>
                <c:pt idx="63">
                  <c:v>7.7865393441114705E-2</c:v>
                </c:pt>
                <c:pt idx="64">
                  <c:v>7.8377466604046694E-2</c:v>
                </c:pt>
                <c:pt idx="65">
                  <c:v>7.8961746220400406E-2</c:v>
                </c:pt>
                <c:pt idx="66">
                  <c:v>7.9615054608988794E-2</c:v>
                </c:pt>
                <c:pt idx="67">
                  <c:v>8.0334460090073403E-2</c:v>
                </c:pt>
                <c:pt idx="68">
                  <c:v>8.1117254771249703E-2</c:v>
                </c:pt>
                <c:pt idx="69">
                  <c:v>8.1960934616431197E-2</c:v>
                </c:pt>
                <c:pt idx="70">
                  <c:v>8.2863181535595395E-2</c:v>
                </c:pt>
                <c:pt idx="71">
                  <c:v>8.3821847266200594E-2</c:v>
                </c:pt>
                <c:pt idx="72">
                  <c:v>8.4834938845824007E-2</c:v>
                </c:pt>
                <c:pt idx="73">
                  <c:v>8.5900605500313101E-2</c:v>
                </c:pt>
                <c:pt idx="74">
                  <c:v>8.7017126793147007E-2</c:v>
                </c:pt>
                <c:pt idx="75">
                  <c:v>8.81829019002663E-2</c:v>
                </c:pt>
                <c:pt idx="76">
                  <c:v>8.93964398907518E-2</c:v>
                </c:pt>
                <c:pt idx="77">
                  <c:v>9.0656350907768093E-2</c:v>
                </c:pt>
                <c:pt idx="78">
                  <c:v>9.1961338156420006E-2</c:v>
                </c:pt>
                <c:pt idx="79">
                  <c:v>9.3313894586738902E-2</c:v>
                </c:pt>
                <c:pt idx="80">
                  <c:v>9.4767117236375195E-2</c:v>
                </c:pt>
                <c:pt idx="81">
                  <c:v>9.6260765817689803E-2</c:v>
                </c:pt>
                <c:pt idx="82">
                  <c:v>9.7793925694597203E-2</c:v>
                </c:pt>
                <c:pt idx="83">
                  <c:v>9.9370731146371793E-2</c:v>
                </c:pt>
                <c:pt idx="84">
                  <c:v>0.101042508611156</c:v>
                </c:pt>
                <c:pt idx="85">
                  <c:v>0.102750211654492</c:v>
                </c:pt>
                <c:pt idx="86">
                  <c:v>0.10449320179324501</c:v>
                </c:pt>
                <c:pt idx="87">
                  <c:v>0.106313701785645</c:v>
                </c:pt>
                <c:pt idx="88">
                  <c:v>0.108187356973263</c:v>
                </c:pt>
                <c:pt idx="89">
                  <c:v>0.110093532776884</c:v>
                </c:pt>
                <c:pt idx="90">
                  <c:v>0.11207859034348799</c:v>
                </c:pt>
                <c:pt idx="91">
                  <c:v>0.114110695561618</c:v>
                </c:pt>
                <c:pt idx="92">
                  <c:v>0.116179426899817</c:v>
                </c:pt>
                <c:pt idx="93">
                  <c:v>0.118315931681994</c:v>
                </c:pt>
                <c:pt idx="94">
                  <c:v>0.12048138658662901</c:v>
                </c:pt>
                <c:pt idx="95">
                  <c:v>0.12271149414223601</c:v>
                </c:pt>
                <c:pt idx="96">
                  <c:v>0.124978073066528</c:v>
                </c:pt>
                <c:pt idx="97">
                  <c:v>0.127302776857388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03-4D7E-BFF8-3B7F4FA333FE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Slurries'!$B$12:$B$13</c:f>
              <c:numCache>
                <c:formatCode>0.000</c:formatCode>
                <c:ptCount val="2"/>
                <c:pt idx="0">
                  <c:v>7.9157707125903425</c:v>
                </c:pt>
                <c:pt idx="1">
                  <c:v>5.6999998352694359</c:v>
                </c:pt>
              </c:numCache>
            </c:numRef>
          </c:xVal>
          <c:yVal>
            <c:numRef>
              <c:f>'Test Slurries'!$C$12:$C$13</c:f>
              <c:numCache>
                <c:formatCode>0.000E+00</c:formatCode>
                <c:ptCount val="2"/>
                <c:pt idx="0">
                  <c:v>7.8682324361017186E-2</c:v>
                </c:pt>
                <c:pt idx="1">
                  <c:v>4.1382103192732507E-2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03-4D7E-BFF8-3B7F4FA333FE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Slurries'!$B$12:$B$13</c:f>
              <c:numCache>
                <c:formatCode>0.000</c:formatCode>
                <c:ptCount val="2"/>
                <c:pt idx="0">
                  <c:v>7.9157707125903425</c:v>
                </c:pt>
                <c:pt idx="1">
                  <c:v>5.6999998352694359</c:v>
                </c:pt>
              </c:numCache>
            </c:numRef>
          </c:xVal>
          <c:yVal>
            <c:numRef>
              <c:f>'Test Slurries'!$D$12:$D$13</c:f>
              <c:numCache>
                <c:formatCode>0.000E+00</c:formatCode>
                <c:ptCount val="2"/>
                <c:pt idx="0">
                  <c:v>9.2174645943667796E-2</c:v>
                </c:pt>
                <c:pt idx="1">
                  <c:v>7.6634200709487135E-2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03-4D7E-BFF8-3B7F4FA33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529247"/>
        <c:axId val="2024539647"/>
      </c:scatterChart>
      <c:valAx>
        <c:axId val="2024529247"/>
        <c:scaling>
          <c:orientation val="minMax"/>
          <c:max val="9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539647"/>
        <c:crosses val="autoZero"/>
        <c:crossBetween val="midCat"/>
      </c:valAx>
      <c:valAx>
        <c:axId val="2024539647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529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Head losses/m in 600mm pipe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'Test Slurries'!$C$18</c:f>
              <c:strCache>
                <c:ptCount val="1"/>
                <c:pt idx="0">
                  <c:v>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'Test Slurries'!$G$19:$G$116</c:f>
              <c:numCache>
                <c:formatCode>General</c:formatCode>
                <c:ptCount val="9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</c:numCache>
            </c:numRef>
          </c:xVal>
          <c:yVal>
            <c:numRef>
              <c:f>'Test Slurries'!$H$19:$H$116</c:f>
              <c:numCache>
                <c:formatCode>0.000E+00</c:formatCode>
                <c:ptCount val="98"/>
                <c:pt idx="0">
                  <c:v>1.7405410367373898E-5</c:v>
                </c:pt>
                <c:pt idx="1">
                  <c:v>6.0702432206847503E-5</c:v>
                </c:pt>
                <c:pt idx="2">
                  <c:v>1.2705823351707199E-4</c:v>
                </c:pt>
                <c:pt idx="3">
                  <c:v>2.15403319245973E-4</c:v>
                </c:pt>
                <c:pt idx="4">
                  <c:v>3.2513065814886399E-4</c:v>
                </c:pt>
                <c:pt idx="5">
                  <c:v>4.5584427043730499E-4</c:v>
                </c:pt>
                <c:pt idx="6">
                  <c:v>6.07264909052701E-4</c:v>
                </c:pt>
                <c:pt idx="7">
                  <c:v>7.7918531909681305E-4</c:v>
                </c:pt>
                <c:pt idx="8">
                  <c:v>9.7144594386051799E-4</c:v>
                </c:pt>
                <c:pt idx="9">
                  <c:v>1.1839204922426E-3</c:v>
                </c:pt>
                <c:pt idx="10">
                  <c:v>1.4165067908084999E-3</c:v>
                </c:pt>
                <c:pt idx="11">
                  <c:v>1.66912069319123E-3</c:v>
                </c:pt>
                <c:pt idx="12">
                  <c:v>1.9416918647947401E-3</c:v>
                </c:pt>
                <c:pt idx="13">
                  <c:v>2.2341607722666502E-3</c:v>
                </c:pt>
                <c:pt idx="14">
                  <c:v>2.5464764766605099E-3</c:v>
                </c:pt>
                <c:pt idx="15">
                  <c:v>2.8785949797678402E-3</c:v>
                </c:pt>
                <c:pt idx="16">
                  <c:v>3.23047796139258E-3</c:v>
                </c:pt>
                <c:pt idx="17">
                  <c:v>3.60209179925406E-3</c:v>
                </c:pt>
                <c:pt idx="18">
                  <c:v>3.9934067972756402E-3</c:v>
                </c:pt>
                <c:pt idx="19">
                  <c:v>4.4043965701943697E-3</c:v>
                </c:pt>
                <c:pt idx="20">
                  <c:v>4.8350375472404599E-3</c:v>
                </c:pt>
                <c:pt idx="21">
                  <c:v>5.2853085677567998E-3</c:v>
                </c:pt>
                <c:pt idx="22">
                  <c:v>5.75519054868416E-3</c:v>
                </c:pt>
                <c:pt idx="23">
                  <c:v>6.2446662088456398E-3</c:v>
                </c:pt>
                <c:pt idx="24">
                  <c:v>6.7537198385757497E-3</c:v>
                </c:pt>
                <c:pt idx="25">
                  <c:v>7.2823371058831901E-3</c:v>
                </c:pt>
                <c:pt idx="26">
                  <c:v>7.8305048922973196E-3</c:v>
                </c:pt>
                <c:pt idx="27">
                  <c:v>8.3982111530201495E-3</c:v>
                </c:pt>
                <c:pt idx="28">
                  <c:v>8.9854447971230295E-3</c:v>
                </c:pt>
                <c:pt idx="29">
                  <c:v>9.5921955843847207E-3</c:v>
                </c:pt>
                <c:pt idx="30">
                  <c:v>1.02184540360303E-2</c:v>
                </c:pt>
                <c:pt idx="31">
                  <c:v>1.08642113571498E-2</c:v>
                </c:pt>
                <c:pt idx="32">
                  <c:v>1.1529459368982E-2</c:v>
                </c:pt>
                <c:pt idx="33">
                  <c:v>1.2214190449574201E-2</c:v>
                </c:pt>
                <c:pt idx="34">
                  <c:v>1.2918397481587299E-2</c:v>
                </c:pt>
                <c:pt idx="35">
                  <c:v>1.36420738062225E-2</c:v>
                </c:pt>
                <c:pt idx="36">
                  <c:v>1.4385213182416199E-2</c:v>
                </c:pt>
                <c:pt idx="37">
                  <c:v>1.5147809750586E-2</c:v>
                </c:pt>
                <c:pt idx="38">
                  <c:v>1.59298580003236E-2</c:v>
                </c:pt>
                <c:pt idx="39">
                  <c:v>1.6731352741522001E-2</c:v>
                </c:pt>
                <c:pt idx="40">
                  <c:v>1.7552289078502599E-2</c:v>
                </c:pt>
                <c:pt idx="41">
                  <c:v>1.83926623867702E-2</c:v>
                </c:pt>
                <c:pt idx="42">
                  <c:v>1.9252468292076899E-2</c:v>
                </c:pt>
                <c:pt idx="43">
                  <c:v>2.0131702651522199E-2</c:v>
                </c:pt>
                <c:pt idx="44">
                  <c:v>2.1030361536451499E-2</c:v>
                </c:pt>
                <c:pt idx="45">
                  <c:v>2.19484412169491E-2</c:v>
                </c:pt>
                <c:pt idx="46">
                  <c:v>2.28859381477487E-2</c:v>
                </c:pt>
                <c:pt idx="47">
                  <c:v>2.38428489554047E-2</c:v>
                </c:pt>
                <c:pt idx="48">
                  <c:v>2.48191704265904E-2</c:v>
                </c:pt>
                <c:pt idx="49">
                  <c:v>2.58148994974053E-2</c:v>
                </c:pt>
                <c:pt idx="50">
                  <c:v>2.6830033243584898E-2</c:v>
                </c:pt>
                <c:pt idx="51">
                  <c:v>2.78645688715243E-2</c:v>
                </c:pt>
                <c:pt idx="52">
                  <c:v>2.8918503710032701E-2</c:v>
                </c:pt>
                <c:pt idx="53">
                  <c:v>2.9991835202748701E-2</c:v>
                </c:pt>
                <c:pt idx="54">
                  <c:v>3.10845609011513E-2</c:v>
                </c:pt>
                <c:pt idx="55">
                  <c:v>3.2196678458112103E-2</c:v>
                </c:pt>
                <c:pt idx="56">
                  <c:v>3.3328185621937199E-2</c:v>
                </c:pt>
                <c:pt idx="57">
                  <c:v>3.4479080230854699E-2</c:v>
                </c:pt>
                <c:pt idx="58">
                  <c:v>3.56493602079073E-2</c:v>
                </c:pt>
                <c:pt idx="59">
                  <c:v>3.6839023556214601E-2</c:v>
                </c:pt>
                <c:pt idx="60">
                  <c:v>3.8048068354572799E-2</c:v>
                </c:pt>
                <c:pt idx="61">
                  <c:v>3.9276492753362299E-2</c:v>
                </c:pt>
                <c:pt idx="62">
                  <c:v>4.0524294970738499E-2</c:v>
                </c:pt>
                <c:pt idx="63">
                  <c:v>4.1791473289080797E-2</c:v>
                </c:pt>
                <c:pt idx="64">
                  <c:v>4.3078026051679701E-2</c:v>
                </c:pt>
                <c:pt idx="65">
                  <c:v>4.43839516596422E-2</c:v>
                </c:pt>
                <c:pt idx="66">
                  <c:v>4.5709248568998599E-2</c:v>
                </c:pt>
                <c:pt idx="67">
                  <c:v>4.7053915287994297E-2</c:v>
                </c:pt>
                <c:pt idx="68">
                  <c:v>4.84179503745528E-2</c:v>
                </c:pt>
                <c:pt idx="69">
                  <c:v>4.9801352433896703E-2</c:v>
                </c:pt>
                <c:pt idx="70">
                  <c:v>5.1204120116315102E-2</c:v>
                </c:pt>
                <c:pt idx="71">
                  <c:v>5.2626252115065102E-2</c:v>
                </c:pt>
                <c:pt idx="72">
                  <c:v>5.4067747164400499E-2</c:v>
                </c:pt>
                <c:pt idx="73">
                  <c:v>5.5528604037715E-2</c:v>
                </c:pt>
                <c:pt idx="74">
                  <c:v>5.7008821545794203E-2</c:v>
                </c:pt>
                <c:pt idx="75">
                  <c:v>5.8508398535168399E-2</c:v>
                </c:pt>
                <c:pt idx="76">
                  <c:v>6.0027333886557802E-2</c:v>
                </c:pt>
                <c:pt idx="77">
                  <c:v>6.1565626513405601E-2</c:v>
                </c:pt>
                <c:pt idx="78">
                  <c:v>6.3123275360491699E-2</c:v>
                </c:pt>
                <c:pt idx="79">
                  <c:v>6.4700279402621796E-2</c:v>
                </c:pt>
                <c:pt idx="80">
                  <c:v>6.6296637643388404E-2</c:v>
                </c:pt>
                <c:pt idx="81">
                  <c:v>6.7912349113996004E-2</c:v>
                </c:pt>
                <c:pt idx="82">
                  <c:v>6.9547412872149605E-2</c:v>
                </c:pt>
                <c:pt idx="83">
                  <c:v>7.1201828001000597E-2</c:v>
                </c:pt>
                <c:pt idx="84">
                  <c:v>7.2875593608145897E-2</c:v>
                </c:pt>
                <c:pt idx="85">
                  <c:v>7.45687088246796E-2</c:v>
                </c:pt>
                <c:pt idx="86">
                  <c:v>7.6281172804290795E-2</c:v>
                </c:pt>
                <c:pt idx="87">
                  <c:v>7.8012984722406697E-2</c:v>
                </c:pt>
                <c:pt idx="88">
                  <c:v>7.9764143775378105E-2</c:v>
                </c:pt>
                <c:pt idx="89">
                  <c:v>8.1534649179703697E-2</c:v>
                </c:pt>
                <c:pt idx="90">
                  <c:v>8.3324500171292407E-2</c:v>
                </c:pt>
                <c:pt idx="91">
                  <c:v>8.5133696004759896E-2</c:v>
                </c:pt>
                <c:pt idx="92">
                  <c:v>8.6962235952759107E-2</c:v>
                </c:pt>
                <c:pt idx="93">
                  <c:v>8.8810119305340607E-2</c:v>
                </c:pt>
                <c:pt idx="94">
                  <c:v>9.0677345369343396E-2</c:v>
                </c:pt>
                <c:pt idx="95">
                  <c:v>9.2563913467813397E-2</c:v>
                </c:pt>
                <c:pt idx="96">
                  <c:v>9.4469822939447196E-2</c:v>
                </c:pt>
                <c:pt idx="97">
                  <c:v>9.6395073138061393E-2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D9-4B11-B8C8-0DAED905EA7E}"/>
            </c:ext>
          </c:extLst>
        </c:ser>
        <c:ser>
          <c:idx val="1"/>
          <c:order val="1"/>
          <c:tx>
            <c:strRef>
              <c:f>'Test Slurries'!$I$18</c:f>
              <c:strCache>
                <c:ptCount val="1"/>
                <c:pt idx="0">
                  <c:v>im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'Test Slurries'!$G$19:$G$116</c:f>
              <c:numCache>
                <c:formatCode>General</c:formatCode>
                <c:ptCount val="9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</c:numCache>
            </c:numRef>
          </c:xVal>
          <c:yVal>
            <c:numRef>
              <c:f>'Test Slurries'!$I$19:$I$116</c:f>
              <c:numCache>
                <c:formatCode>0.000E+00</c:formatCode>
                <c:ptCount val="98"/>
                <c:pt idx="0">
                  <c:v>0.347525113087155</c:v>
                </c:pt>
                <c:pt idx="1">
                  <c:v>0.34206597487966101</c:v>
                </c:pt>
                <c:pt idx="2">
                  <c:v>0.33625993063269</c:v>
                </c:pt>
                <c:pt idx="3">
                  <c:v>0.33024562737497598</c:v>
                </c:pt>
                <c:pt idx="4">
                  <c:v>0.32411068825292899</c:v>
                </c:pt>
                <c:pt idx="5">
                  <c:v>0.31791761313016498</c:v>
                </c:pt>
                <c:pt idx="6">
                  <c:v>0.31171357788387499</c:v>
                </c:pt>
                <c:pt idx="7">
                  <c:v>0.30553526766000599</c:v>
                </c:pt>
                <c:pt idx="8">
                  <c:v>0.29941166507905398</c:v>
                </c:pt>
                <c:pt idx="9">
                  <c:v>0.293365837904973</c:v>
                </c:pt>
                <c:pt idx="10">
                  <c:v>0.28741617494167798</c:v>
                </c:pt>
                <c:pt idx="11">
                  <c:v>0.28157728888908001</c:v>
                </c:pt>
                <c:pt idx="12">
                  <c:v>0.275860703332861</c:v>
                </c:pt>
                <c:pt idx="13">
                  <c:v>0.27027539153228303</c:v>
                </c:pt>
                <c:pt idx="14">
                  <c:v>0.26482820859143402</c:v>
                </c:pt>
                <c:pt idx="15">
                  <c:v>0.25952424396801699</c:v>
                </c:pt>
                <c:pt idx="16">
                  <c:v>0.25436711261536599</c:v>
                </c:pt>
                <c:pt idx="17">
                  <c:v>0.24935919768577899</c:v>
                </c:pt>
                <c:pt idx="18">
                  <c:v>0.24450185425481399</c:v>
                </c:pt>
                <c:pt idx="19">
                  <c:v>0.23979558119896899</c:v>
                </c:pt>
                <c:pt idx="20">
                  <c:v>0.235240166743138</c:v>
                </c:pt>
                <c:pt idx="21">
                  <c:v>0.23083481203635101</c:v>
                </c:pt>
                <c:pt idx="22">
                  <c:v>0.224757167493704</c:v>
                </c:pt>
                <c:pt idx="23">
                  <c:v>0.21871442196990901</c:v>
                </c:pt>
                <c:pt idx="24">
                  <c:v>0.21146381528180599</c:v>
                </c:pt>
                <c:pt idx="25">
                  <c:v>0.20437332711814299</c:v>
                </c:pt>
                <c:pt idx="26">
                  <c:v>0.19630244353649101</c:v>
                </c:pt>
                <c:pt idx="27">
                  <c:v>0.18824743098617999</c:v>
                </c:pt>
                <c:pt idx="28">
                  <c:v>0.18033783338195999</c:v>
                </c:pt>
                <c:pt idx="29">
                  <c:v>0.17247751680582099</c:v>
                </c:pt>
                <c:pt idx="30">
                  <c:v>0.16473142317234099</c:v>
                </c:pt>
                <c:pt idx="31">
                  <c:v>0.15710534116575101</c:v>
                </c:pt>
                <c:pt idx="32">
                  <c:v>0.14955449123720899</c:v>
                </c:pt>
                <c:pt idx="33">
                  <c:v>0.14212018195863699</c:v>
                </c:pt>
                <c:pt idx="34">
                  <c:v>0.134737625576687</c:v>
                </c:pt>
                <c:pt idx="35">
                  <c:v>0.127751211993373</c:v>
                </c:pt>
                <c:pt idx="36">
                  <c:v>0.12145066521077801</c:v>
                </c:pt>
                <c:pt idx="37">
                  <c:v>0.115762870545949</c:v>
                </c:pt>
                <c:pt idx="38">
                  <c:v>0.110624278092113</c:v>
                </c:pt>
                <c:pt idx="39">
                  <c:v>0.105979456532515</c:v>
                </c:pt>
                <c:pt idx="40">
                  <c:v>0.101779893884323</c:v>
                </c:pt>
                <c:pt idx="41">
                  <c:v>9.7982998376330496E-2</c:v>
                </c:pt>
                <c:pt idx="42">
                  <c:v>9.4551262376095499E-2</c:v>
                </c:pt>
                <c:pt idx="43">
                  <c:v>9.1451559810369995E-2</c:v>
                </c:pt>
                <c:pt idx="44">
                  <c:v>8.8654553394470301E-2</c:v>
                </c:pt>
                <c:pt idx="45">
                  <c:v>8.6134192593231698E-2</c:v>
                </c:pt>
                <c:pt idx="46">
                  <c:v>8.3867286871174604E-2</c:v>
                </c:pt>
                <c:pt idx="47">
                  <c:v>8.1833141672994006E-2</c:v>
                </c:pt>
                <c:pt idx="48">
                  <c:v>8.0013246874569996E-2</c:v>
                </c:pt>
                <c:pt idx="49">
                  <c:v>7.8391009286823105E-2</c:v>
                </c:pt>
                <c:pt idx="50">
                  <c:v>7.6951522277642403E-2</c:v>
                </c:pt>
                <c:pt idx="51">
                  <c:v>7.5681366776219894E-2</c:v>
                </c:pt>
                <c:pt idx="52">
                  <c:v>7.4568438897922099E-2</c:v>
                </c:pt>
                <c:pt idx="53">
                  <c:v>7.3601800221905295E-2</c:v>
                </c:pt>
                <c:pt idx="54">
                  <c:v>7.2771547403801401E-2</c:v>
                </c:pt>
                <c:pt idx="55">
                  <c:v>7.2068698340060203E-2</c:v>
                </c:pt>
                <c:pt idx="56">
                  <c:v>7.1485092541220194E-2</c:v>
                </c:pt>
                <c:pt idx="57">
                  <c:v>7.1013303736142896E-2</c:v>
                </c:pt>
                <c:pt idx="58">
                  <c:v>7.0646563032205997E-2</c:v>
                </c:pt>
                <c:pt idx="59">
                  <c:v>7.0378691208898003E-2</c:v>
                </c:pt>
                <c:pt idx="60">
                  <c:v>7.0204038933282295E-2</c:v>
                </c:pt>
                <c:pt idx="61">
                  <c:v>7.0117433862731907E-2</c:v>
                </c:pt>
                <c:pt idx="62">
                  <c:v>7.0114133749131502E-2</c:v>
                </c:pt>
                <c:pt idx="63">
                  <c:v>7.0189784784217904E-2</c:v>
                </c:pt>
                <c:pt idx="64">
                  <c:v>7.034038453185E-2</c:v>
                </c:pt>
                <c:pt idx="65">
                  <c:v>7.0562248882964598E-2</c:v>
                </c:pt>
                <c:pt idx="66">
                  <c:v>7.0851982545470302E-2</c:v>
                </c:pt>
                <c:pt idx="67">
                  <c:v>7.1206452646506796E-2</c:v>
                </c:pt>
                <c:pt idx="68">
                  <c:v>7.1622765080188402E-2</c:v>
                </c:pt>
                <c:pt idx="69">
                  <c:v>7.2098243281629795E-2</c:v>
                </c:pt>
                <c:pt idx="70">
                  <c:v>7.2630409148979599E-2</c:v>
                </c:pt>
                <c:pt idx="71">
                  <c:v>7.3216965870382997E-2</c:v>
                </c:pt>
                <c:pt idx="72">
                  <c:v>7.3855782443142795E-2</c:v>
                </c:pt>
                <c:pt idx="73">
                  <c:v>7.4544879698553002E-2</c:v>
                </c:pt>
                <c:pt idx="74">
                  <c:v>7.5282417668568496E-2</c:v>
                </c:pt>
                <c:pt idx="75">
                  <c:v>7.6066684150145294E-2</c:v>
                </c:pt>
                <c:pt idx="76">
                  <c:v>7.6896084340183093E-2</c:v>
                </c:pt>
                <c:pt idx="77">
                  <c:v>7.7769131428884197E-2</c:v>
                </c:pt>
                <c:pt idx="78">
                  <c:v>7.8684438052318603E-2</c:v>
                </c:pt>
                <c:pt idx="79">
                  <c:v>7.9640708516327499E-2</c:v>
                </c:pt>
                <c:pt idx="80">
                  <c:v>8.0636731713819507E-2</c:v>
                </c:pt>
                <c:pt idx="81">
                  <c:v>8.1671374666213103E-2</c:v>
                </c:pt>
                <c:pt idx="82">
                  <c:v>8.2743576627417895E-2</c:v>
                </c:pt>
                <c:pt idx="83">
                  <c:v>8.3852343695465001E-2</c:v>
                </c:pt>
                <c:pt idx="84">
                  <c:v>8.5001975868258695E-2</c:v>
                </c:pt>
                <c:pt idx="85">
                  <c:v>8.6235091921927007E-2</c:v>
                </c:pt>
                <c:pt idx="86">
                  <c:v>8.7501113813921699E-2</c:v>
                </c:pt>
                <c:pt idx="87">
                  <c:v>8.8799329311084099E-2</c:v>
                </c:pt>
                <c:pt idx="88">
                  <c:v>9.0129068625276906E-2</c:v>
                </c:pt>
                <c:pt idx="89">
                  <c:v>9.1539287768421906E-2</c:v>
                </c:pt>
                <c:pt idx="90">
                  <c:v>9.2983864333401306E-2</c:v>
                </c:pt>
                <c:pt idx="91">
                  <c:v>9.4457254857377604E-2</c:v>
                </c:pt>
                <c:pt idx="92">
                  <c:v>9.5977374578036595E-2</c:v>
                </c:pt>
                <c:pt idx="93">
                  <c:v>9.7561603267736302E-2</c:v>
                </c:pt>
                <c:pt idx="94">
                  <c:v>9.9172387832575301E-2</c:v>
                </c:pt>
                <c:pt idx="95">
                  <c:v>0.100822570907998</c:v>
                </c:pt>
                <c:pt idx="96">
                  <c:v>0.10254047067575001</c:v>
                </c:pt>
                <c:pt idx="97">
                  <c:v>0.104283056025511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9-4B11-B8C8-0DAED905EA7E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Slurries'!$G$12:$G$13</c:f>
              <c:numCache>
                <c:formatCode>General</c:formatCode>
                <c:ptCount val="2"/>
                <c:pt idx="0" formatCode="0.000">
                  <c:v>5.4970629948544047</c:v>
                </c:pt>
                <c:pt idx="1">
                  <c:v>3.9583332189371081</c:v>
                </c:pt>
              </c:numCache>
            </c:numRef>
          </c:xVal>
          <c:yVal>
            <c:numRef>
              <c:f>'Test Slurries'!$H$12:$H$13</c:f>
              <c:numCache>
                <c:formatCode>0.000E+00</c:formatCode>
                <c:ptCount val="2"/>
                <c:pt idx="0">
                  <c:v>3.1052467491161972E-2</c:v>
                </c:pt>
                <c:pt idx="1">
                  <c:v>1.6397395682476272E-2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D9-4B11-B8C8-0DAED905EA7E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Slurries'!$G$12:$G$13</c:f>
              <c:numCache>
                <c:formatCode>General</c:formatCode>
                <c:ptCount val="2"/>
                <c:pt idx="0" formatCode="0.000">
                  <c:v>5.4970629948544047</c:v>
                </c:pt>
                <c:pt idx="1">
                  <c:v>3.9583332189371081</c:v>
                </c:pt>
              </c:numCache>
            </c:numRef>
          </c:xVal>
          <c:yVal>
            <c:numRef>
              <c:f>'Test Slurries'!$I$12:$I$13</c:f>
              <c:numCache>
                <c:formatCode>0.000E+00</c:formatCode>
                <c:ptCount val="2"/>
                <c:pt idx="0">
                  <c:v>7.2795931971790559E-2</c:v>
                </c:pt>
                <c:pt idx="1">
                  <c:v>0.1079148041625147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D9-4B11-B8C8-0DAED905E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4529247"/>
        <c:axId val="2024539647"/>
      </c:scatterChart>
      <c:valAx>
        <c:axId val="2024529247"/>
        <c:scaling>
          <c:orientation val="minMax"/>
          <c:max val="9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539647"/>
        <c:crosses val="autoZero"/>
        <c:crossBetween val="midCat"/>
      </c:valAx>
      <c:valAx>
        <c:axId val="202453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4529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'[1]UWP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'[1]UWP Example'!$F$19:$F$36</c:f>
              <c:numCache>
                <c:formatCode>General</c:formatCode>
                <c:ptCount val="18"/>
                <c:pt idx="0">
                  <c:v>112.07804413656908</c:v>
                </c:pt>
                <c:pt idx="1">
                  <c:v>111.90921143946368</c:v>
                </c:pt>
                <c:pt idx="2">
                  <c:v>111.44640296562086</c:v>
                </c:pt>
                <c:pt idx="3">
                  <c:v>110.65381637119108</c:v>
                </c:pt>
                <c:pt idx="4">
                  <c:v>109.51051504641677</c:v>
                </c:pt>
                <c:pt idx="5">
                  <c:v>108.01102837157788</c:v>
                </c:pt>
                <c:pt idx="6">
                  <c:v>106.16514088523554</c:v>
                </c:pt>
                <c:pt idx="7">
                  <c:v>103.99682513667045</c:v>
                </c:pt>
                <c:pt idx="8">
                  <c:v>101.54239039924866</c:v>
                </c:pt>
                <c:pt idx="9">
                  <c:v>98.84802155820627</c:v>
                </c:pt>
                <c:pt idx="10">
                  <c:v>95.966952520913182</c:v>
                </c:pt>
                <c:pt idx="11">
                  <c:v>92.956547008200985</c:v>
                </c:pt>
                <c:pt idx="12">
                  <c:v>89.875546479220858</c:v>
                </c:pt>
                <c:pt idx="13">
                  <c:v>86.781698520794137</c:v>
                </c:pt>
                <c:pt idx="14">
                  <c:v>83.729912882852531</c:v>
                </c:pt>
                <c:pt idx="15">
                  <c:v>80.771021393068821</c:v>
                </c:pt>
                <c:pt idx="16">
                  <c:v>77.951155083420588</c:v>
                </c:pt>
                <c:pt idx="17">
                  <c:v>72.889814117348465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8A-4A5C-A6AA-4ABF206F37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'[1]UWP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44.952965751051103</c:v>
                </c:pt>
                <c:pt idx="2">
                  <c:v>58.314351032661051</c:v>
                </c:pt>
                <c:pt idx="3">
                  <c:v>66.193315435668069</c:v>
                </c:pt>
                <c:pt idx="4">
                  <c:v>71.354361415996308</c:v>
                </c:pt>
                <c:pt idx="5">
                  <c:v>74.811878519799819</c:v>
                </c:pt>
                <c:pt idx="6">
                  <c:v>77.040820627731904</c:v>
                </c:pt>
                <c:pt idx="7">
                  <c:v>78.285688547970324</c:v>
                </c:pt>
                <c:pt idx="8">
                  <c:v>78.67549310214909</c:v>
                </c:pt>
                <c:pt idx="9">
                  <c:v>78.277663027563506</c:v>
                </c:pt>
                <c:pt idx="10">
                  <c:v>77.128432722939067</c:v>
                </c:pt>
                <c:pt idx="11">
                  <c:v>75.252925035294595</c:v>
                </c:pt>
                <c:pt idx="12">
                  <c:v>72.680136123915588</c:v>
                </c:pt>
                <c:pt idx="13">
                  <c:v>69.454820942420838</c:v>
                </c:pt>
                <c:pt idx="14">
                  <c:v>65.646751855722584</c:v>
                </c:pt>
                <c:pt idx="15">
                  <c:v>61.356998057201686</c:v>
                </c:pt>
                <c:pt idx="16">
                  <c:v>56.720429149724346</c:v>
                </c:pt>
                <c:pt idx="17">
                  <c:v>47.096540168281031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8A-4A5C-A6AA-4ABF206F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'[1]UWP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'[1]UWP Example'!$I$19:$I$36</c:f>
              <c:numCache>
                <c:formatCode>General</c:formatCode>
                <c:ptCount val="18"/>
                <c:pt idx="0">
                  <c:v>200</c:v>
                </c:pt>
                <c:pt idx="1">
                  <c:v>355.48612643742598</c:v>
                </c:pt>
                <c:pt idx="2">
                  <c:v>545.80281933281822</c:v>
                </c:pt>
                <c:pt idx="3">
                  <c:v>716.12475648939767</c:v>
                </c:pt>
                <c:pt idx="4">
                  <c:v>876.61815166325812</c:v>
                </c:pt>
                <c:pt idx="5">
                  <c:v>1030.8197134146665</c:v>
                </c:pt>
                <c:pt idx="6">
                  <c:v>1180.6670976329533</c:v>
                </c:pt>
                <c:pt idx="7">
                  <c:v>1327.855801945281</c:v>
                </c:pt>
                <c:pt idx="8">
                  <c:v>1474.3923415459931</c:v>
                </c:pt>
                <c:pt idx="9">
                  <c:v>1622.8852365054029</c:v>
                </c:pt>
                <c:pt idx="10">
                  <c:v>1776.7338126596146</c:v>
                </c:pt>
                <c:pt idx="11">
                  <c:v>1940.280204065019</c:v>
                </c:pt>
                <c:pt idx="12">
                  <c:v>2118.9574121870969</c:v>
                </c:pt>
                <c:pt idx="13">
                  <c:v>2319.446034112932</c:v>
                </c:pt>
                <c:pt idx="14">
                  <c:v>2549.8263370917853</c:v>
                </c:pt>
                <c:pt idx="15">
                  <c:v>2819.6675134712896</c:v>
                </c:pt>
                <c:pt idx="16">
                  <c:v>3139.9172271835623</c:v>
                </c:pt>
                <c:pt idx="17">
                  <c:v>3978.0067336176076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8A-4A5C-A6AA-4ABF206F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'[1]MP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'[1]MP Example'!$F$19:$F$36</c:f>
              <c:numCache>
                <c:formatCode>General</c:formatCode>
                <c:ptCount val="18"/>
                <c:pt idx="0">
                  <c:v>284.60390967860326</c:v>
                </c:pt>
                <c:pt idx="1">
                  <c:v>283.63015918273595</c:v>
                </c:pt>
                <c:pt idx="2">
                  <c:v>282.32106151460493</c:v>
                </c:pt>
                <c:pt idx="3">
                  <c:v>280.62143872503043</c:v>
                </c:pt>
                <c:pt idx="4">
                  <c:v>278.49043707319078</c:v>
                </c:pt>
                <c:pt idx="5">
                  <c:v>275.90201786958721</c:v>
                </c:pt>
                <c:pt idx="6">
                  <c:v>272.84510084329219</c:v>
                </c:pt>
                <c:pt idx="7">
                  <c:v>269.32328822176822</c:v>
                </c:pt>
                <c:pt idx="8">
                  <c:v>265.35414000721357</c:v>
                </c:pt>
                <c:pt idx="9">
                  <c:v>260.96801410809252</c:v>
                </c:pt>
                <c:pt idx="10">
                  <c:v>256.2065248654842</c:v>
                </c:pt>
                <c:pt idx="11">
                  <c:v>251.12070616305218</c:v>
                </c:pt>
                <c:pt idx="12">
                  <c:v>245.76898773308471</c:v>
                </c:pt>
                <c:pt idx="13">
                  <c:v>240.21510391176363</c:v>
                </c:pt>
                <c:pt idx="14">
                  <c:v>234.52605302036019</c:v>
                </c:pt>
                <c:pt idx="15">
                  <c:v>228.77021431529786</c:v>
                </c:pt>
                <c:pt idx="16">
                  <c:v>223.01571073132433</c:v>
                </c:pt>
                <c:pt idx="17">
                  <c:v>211.77431449965653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B6-4653-AD07-69A30D5D7E2C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'[1]MP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32.769931125751434</c:v>
                </c:pt>
                <c:pt idx="2">
                  <c:v>44.552026365808224</c:v>
                </c:pt>
                <c:pt idx="3">
                  <c:v>52.358335125669278</c:v>
                </c:pt>
                <c:pt idx="4">
                  <c:v>58.165465707111878</c:v>
                </c:pt>
                <c:pt idx="5">
                  <c:v>62.726445532392709</c:v>
                </c:pt>
                <c:pt idx="6">
                  <c:v>66.416533001927888</c:v>
                </c:pt>
                <c:pt idx="7">
                  <c:v>69.448227133499174</c:v>
                </c:pt>
                <c:pt idx="8">
                  <c:v>71.949964526274556</c:v>
                </c:pt>
                <c:pt idx="9">
                  <c:v>74.001476463385515</c:v>
                </c:pt>
                <c:pt idx="10">
                  <c:v>75.65209243477824</c:v>
                </c:pt>
                <c:pt idx="11">
                  <c:v>76.9313523373457</c:v>
                </c:pt>
                <c:pt idx="12">
                  <c:v>77.85581452346463</c:v>
                </c:pt>
                <c:pt idx="13">
                  <c:v>78.433856979743354</c:v>
                </c:pt>
                <c:pt idx="14">
                  <c:v>78.669364249633603</c:v>
                </c:pt>
                <c:pt idx="15">
                  <c:v>78.564757516476931</c:v>
                </c:pt>
                <c:pt idx="16">
                  <c:v>78.123594881286508</c:v>
                </c:pt>
                <c:pt idx="17">
                  <c:v>76.264782152485026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B6-4653-AD07-69A30D5D7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'[1]MP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'[1]MP Example'!$I$19:$I$36</c:f>
              <c:numCache>
                <c:formatCode>General</c:formatCode>
                <c:ptCount val="18"/>
                <c:pt idx="0">
                  <c:v>800</c:v>
                </c:pt>
                <c:pt idx="1">
                  <c:v>1235.9248093692947</c:v>
                </c:pt>
                <c:pt idx="2">
                  <c:v>1809.7599877227742</c:v>
                </c:pt>
                <c:pt idx="3">
                  <c:v>2295.9976706516709</c:v>
                </c:pt>
                <c:pt idx="4">
                  <c:v>2734.7664193283617</c:v>
                </c:pt>
                <c:pt idx="5">
                  <c:v>3140.4318461172725</c:v>
                </c:pt>
                <c:pt idx="6">
                  <c:v>3519.7059244709994</c:v>
                </c:pt>
                <c:pt idx="7">
                  <c:v>3876.3765234392085</c:v>
                </c:pt>
                <c:pt idx="8">
                  <c:v>4213.087129155404</c:v>
                </c:pt>
                <c:pt idx="9">
                  <c:v>4532.1531328549681</c:v>
                </c:pt>
                <c:pt idx="10">
                  <c:v>4835.9790562234675</c:v>
                </c:pt>
                <c:pt idx="11">
                  <c:v>5127.279735081358</c:v>
                </c:pt>
                <c:pt idx="12">
                  <c:v>5409.1925870129789</c:v>
                </c:pt>
                <c:pt idx="13">
                  <c:v>5685.3245450995701</c:v>
                </c:pt>
                <c:pt idx="14">
                  <c:v>5959.7584740347256</c:v>
                </c:pt>
                <c:pt idx="15">
                  <c:v>6237.0343184602061</c:v>
                </c:pt>
                <c:pt idx="16">
                  <c:v>6522.1140994694033</c:v>
                </c:pt>
                <c:pt idx="17">
                  <c:v>7137.3488758790609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B6-4653-AD07-69A30D5D7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Pipeline'!$O$26:$O$31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35</c:v>
                </c:pt>
                <c:pt idx="4">
                  <c:v>55</c:v>
                </c:pt>
                <c:pt idx="5">
                  <c:v>1055</c:v>
                </c:pt>
              </c:numCache>
            </c:numRef>
          </c:xVal>
          <c:yVal>
            <c:numRef>
              <c:f>'Test Pipeline'!$P$26:$P$31</c:f>
              <c:numCache>
                <c:formatCode>0.000</c:formatCode>
                <c:ptCount val="6"/>
                <c:pt idx="0" formatCode="General">
                  <c:v>-4.0992411999999998</c:v>
                </c:pt>
                <c:pt idx="1">
                  <c:v>-1.0737308109980175</c:v>
                </c:pt>
                <c:pt idx="2">
                  <c:v>6.4020216888199704</c:v>
                </c:pt>
                <c:pt idx="3">
                  <c:v>11.290093029342318</c:v>
                </c:pt>
                <c:pt idx="4">
                  <c:v>12.660860563066951</c:v>
                </c:pt>
                <c:pt idx="5">
                  <c:v>110.32719056599107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02-445E-8598-5E82FCFB8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094991"/>
        <c:axId val="18750958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Pipeline'!$O$26:$O$31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35</c:v>
                </c:pt>
                <c:pt idx="4">
                  <c:v>55</c:v>
                </c:pt>
                <c:pt idx="5">
                  <c:v>1055</c:v>
                </c:pt>
              </c:numCache>
            </c:numRef>
          </c:xVal>
          <c:yVal>
            <c:numRef>
              <c:f>'Test Pipeline'!$Q$26:$Q$31</c:f>
              <c:numCache>
                <c:formatCode>General</c:formatCode>
                <c:ptCount val="6"/>
                <c:pt idx="0">
                  <c:v>-4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02-445E-8598-5E82FCFB8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265743"/>
        <c:axId val="1719256591"/>
      </c:scatterChart>
      <c:valAx>
        <c:axId val="187509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95823"/>
        <c:crosses val="autoZero"/>
        <c:crossBetween val="midCat"/>
      </c:valAx>
      <c:valAx>
        <c:axId val="187509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94991"/>
        <c:crosses val="autoZero"/>
        <c:crossBetween val="midCat"/>
      </c:valAx>
      <c:valAx>
        <c:axId val="17192565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265743"/>
        <c:crosses val="max"/>
        <c:crossBetween val="midCat"/>
      </c:valAx>
      <c:valAx>
        <c:axId val="1719265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9256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'Test Pipeline qimin'!$O$26:$O$31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35</c:v>
                </c:pt>
                <c:pt idx="4">
                  <c:v>55</c:v>
                </c:pt>
                <c:pt idx="5">
                  <c:v>1055</c:v>
                </c:pt>
              </c:numCache>
            </c:numRef>
          </c:xVal>
          <c:yVal>
            <c:numRef>
              <c:f>'Test Pipeline qimin'!$P$26:$P$31</c:f>
              <c:numCache>
                <c:formatCode>0.000</c:formatCode>
                <c:ptCount val="6"/>
                <c:pt idx="0" formatCode="General">
                  <c:v>-4.0992411999999998</c:v>
                </c:pt>
                <c:pt idx="1">
                  <c:v>-2.5304616376513853</c:v>
                </c:pt>
                <c:pt idx="2">
                  <c:v>5.1119400323308923</c:v>
                </c:pt>
                <c:pt idx="3">
                  <c:v>8.3674909621921252</c:v>
                </c:pt>
                <c:pt idx="4">
                  <c:v>9.0246926522800237</c:v>
                </c:pt>
                <c:pt idx="5">
                  <c:v>89.136792726257866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C-4AC7-95A6-7DA91F03A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094991"/>
        <c:axId val="187509582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'Test Pipeline qimin'!$O$26:$O$31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35</c:v>
                </c:pt>
                <c:pt idx="4">
                  <c:v>55</c:v>
                </c:pt>
                <c:pt idx="5">
                  <c:v>1055</c:v>
                </c:pt>
              </c:numCache>
            </c:numRef>
          </c:xVal>
          <c:yVal>
            <c:numRef>
              <c:f>'Test Pipeline qimin'!$Q$26:$Q$31</c:f>
              <c:numCache>
                <c:formatCode>General</c:formatCode>
                <c:ptCount val="6"/>
                <c:pt idx="0">
                  <c:v>-4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7C-4AC7-95A6-7DA91F03A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265743"/>
        <c:axId val="1719256591"/>
      </c:scatterChart>
      <c:valAx>
        <c:axId val="187509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95823"/>
        <c:crosses val="autoZero"/>
        <c:crossBetween val="midCat"/>
      </c:valAx>
      <c:valAx>
        <c:axId val="187509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094991"/>
        <c:crosses val="autoZero"/>
        <c:crossBetween val="midCat"/>
      </c:valAx>
      <c:valAx>
        <c:axId val="1719256591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265743"/>
        <c:crosses val="max"/>
        <c:crossBetween val="midCat"/>
      </c:valAx>
      <c:valAx>
        <c:axId val="17192657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9256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339725</xdr:colOff>
      <xdr:row>24</xdr:row>
      <xdr:rowOff>0</xdr:rowOff>
    </xdr:from>
    <xdr:to>
      <xdr:col>5</xdr:col>
      <xdr:colOff>1676400</xdr:colOff>
      <xdr:row>50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FD58D2-2571-A4CC-0AA0-A23A6AF1C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23</xdr:row>
      <xdr:rowOff>57150</xdr:rowOff>
    </xdr:from>
    <xdr:to>
      <xdr:col>19</xdr:col>
      <xdr:colOff>209550</xdr:colOff>
      <xdr:row>49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20CCBAD-BB96-4D31-93DC-8E6DF6024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49212</xdr:colOff>
      <xdr:row>45</xdr:row>
      <xdr:rowOff>85725</xdr:rowOff>
    </xdr:from>
    <xdr:to>
      <xdr:col>26</xdr:col>
      <xdr:colOff>492125</xdr:colOff>
      <xdr:row>66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59FFCE-C896-417E-A3A4-FC0563CCE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</xdr:colOff>
      <xdr:row>105</xdr:row>
      <xdr:rowOff>82550</xdr:rowOff>
    </xdr:from>
    <xdr:to>
      <xdr:col>26</xdr:col>
      <xdr:colOff>492125</xdr:colOff>
      <xdr:row>133</xdr:row>
      <xdr:rowOff>6350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BADD8A-B287-4903-AB4C-2DC686EBB3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31</xdr:row>
      <xdr:rowOff>123825</xdr:rowOff>
    </xdr:from>
    <xdr:to>
      <xdr:col>17</xdr:col>
      <xdr:colOff>228600</xdr:colOff>
      <xdr:row>48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8D74C9-15DA-1F94-09A3-F743ABA99B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31</xdr:row>
      <xdr:rowOff>123825</xdr:rowOff>
    </xdr:from>
    <xdr:to>
      <xdr:col>17</xdr:col>
      <xdr:colOff>228600</xdr:colOff>
      <xdr:row>48</xdr:row>
      <xdr:rowOff>111125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811C5C-7301-4A9B-8BF8-59D56E9C3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mp_cur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-C"/>
      <sheetName val="NS-Eff"/>
      <sheetName val="Example for tests"/>
      <sheetName val="Torque Limited example"/>
      <sheetName val="Power Limited example"/>
      <sheetName val="UWP Example"/>
      <sheetName val="MP Example"/>
      <sheetName val="Pumps-Pipeline1"/>
    </sheetNames>
    <sheetDataSet>
      <sheetData sheetId="0"/>
      <sheetData sheetId="1"/>
      <sheetData sheetId="2"/>
      <sheetData sheetId="3"/>
      <sheetData sheetId="4"/>
      <sheetData sheetId="5">
        <row r="19">
          <cell r="E19">
            <v>0</v>
          </cell>
          <cell r="F19">
            <v>112.07804413656908</v>
          </cell>
          <cell r="H19">
            <v>-4.0937929999999998</v>
          </cell>
          <cell r="I19">
            <v>200</v>
          </cell>
        </row>
        <row r="20">
          <cell r="E20">
            <v>5654.7102446901481</v>
          </cell>
          <cell r="F20">
            <v>111.90921143946368</v>
          </cell>
          <cell r="H20">
            <v>44.952965751051103</v>
          </cell>
          <cell r="I20">
            <v>355.48612643742598</v>
          </cell>
        </row>
        <row r="21">
          <cell r="E21">
            <v>11309.420489380296</v>
          </cell>
          <cell r="F21">
            <v>111.44640296562086</v>
          </cell>
          <cell r="H21">
            <v>58.314351032661051</v>
          </cell>
          <cell r="I21">
            <v>545.80281933281822</v>
          </cell>
        </row>
        <row r="22">
          <cell r="E22">
            <v>16964.130734070444</v>
          </cell>
          <cell r="F22">
            <v>110.65381637119108</v>
          </cell>
          <cell r="H22">
            <v>66.193315435668069</v>
          </cell>
          <cell r="I22">
            <v>716.12475648939767</v>
          </cell>
        </row>
        <row r="23">
          <cell r="E23">
            <v>22618.840978760592</v>
          </cell>
          <cell r="F23">
            <v>109.51051504641677</v>
          </cell>
          <cell r="H23">
            <v>71.354361415996308</v>
          </cell>
          <cell r="I23">
            <v>876.61815166325812</v>
          </cell>
        </row>
        <row r="24">
          <cell r="E24">
            <v>28273.551223450744</v>
          </cell>
          <cell r="F24">
            <v>108.01102837157788</v>
          </cell>
          <cell r="H24">
            <v>74.811878519799819</v>
          </cell>
          <cell r="I24">
            <v>1030.8197134146665</v>
          </cell>
        </row>
        <row r="25">
          <cell r="E25">
            <v>33928.261468140889</v>
          </cell>
          <cell r="F25">
            <v>106.16514088523554</v>
          </cell>
          <cell r="H25">
            <v>77.040820627731904</v>
          </cell>
          <cell r="I25">
            <v>1180.6670976329533</v>
          </cell>
        </row>
        <row r="26">
          <cell r="E26">
            <v>39582.971712831044</v>
          </cell>
          <cell r="F26">
            <v>103.99682513667045</v>
          </cell>
          <cell r="H26">
            <v>78.285688547970324</v>
          </cell>
          <cell r="I26">
            <v>1327.855801945281</v>
          </cell>
        </row>
        <row r="27">
          <cell r="E27">
            <v>45237.681957521185</v>
          </cell>
          <cell r="F27">
            <v>101.54239039924866</v>
          </cell>
          <cell r="H27">
            <v>78.67549310214909</v>
          </cell>
          <cell r="I27">
            <v>1474.3923415459931</v>
          </cell>
        </row>
        <row r="28">
          <cell r="E28">
            <v>50892.392202211333</v>
          </cell>
          <cell r="F28">
            <v>98.84802155820627</v>
          </cell>
          <cell r="H28">
            <v>78.277663027563506</v>
          </cell>
          <cell r="I28">
            <v>1622.8852365054029</v>
          </cell>
        </row>
        <row r="29">
          <cell r="E29">
            <v>56547.102446901488</v>
          </cell>
          <cell r="F29">
            <v>95.966952520913182</v>
          </cell>
          <cell r="H29">
            <v>77.128432722939067</v>
          </cell>
          <cell r="I29">
            <v>1776.7338126596146</v>
          </cell>
        </row>
        <row r="30">
          <cell r="E30">
            <v>62201.812691591629</v>
          </cell>
          <cell r="F30">
            <v>92.956547008200985</v>
          </cell>
          <cell r="H30">
            <v>75.252925035294595</v>
          </cell>
          <cell r="I30">
            <v>1940.280204065019</v>
          </cell>
        </row>
        <row r="31">
          <cell r="E31">
            <v>67856.522936281777</v>
          </cell>
          <cell r="F31">
            <v>89.875546479220858</v>
          </cell>
          <cell r="H31">
            <v>72.680136123915588</v>
          </cell>
          <cell r="I31">
            <v>2118.9574121870969</v>
          </cell>
        </row>
        <row r="32">
          <cell r="E32">
            <v>73511.233180971933</v>
          </cell>
          <cell r="F32">
            <v>86.781698520794137</v>
          </cell>
          <cell r="H32">
            <v>69.454820942420838</v>
          </cell>
          <cell r="I32">
            <v>2319.446034112932</v>
          </cell>
        </row>
        <row r="33">
          <cell r="E33">
            <v>79165.943425662088</v>
          </cell>
          <cell r="F33">
            <v>83.729912882852531</v>
          </cell>
          <cell r="H33">
            <v>65.646751855722584</v>
          </cell>
          <cell r="I33">
            <v>2549.8263370917853</v>
          </cell>
        </row>
        <row r="34">
          <cell r="E34">
            <v>84820.653670352214</v>
          </cell>
          <cell r="F34">
            <v>80.771021393068821</v>
          </cell>
          <cell r="H34">
            <v>61.356998057201686</v>
          </cell>
          <cell r="I34">
            <v>2819.6675134712896</v>
          </cell>
        </row>
        <row r="35">
          <cell r="E35">
            <v>90475.36391504237</v>
          </cell>
          <cell r="F35">
            <v>77.951155083420588</v>
          </cell>
          <cell r="H35">
            <v>56.720429149724346</v>
          </cell>
          <cell r="I35">
            <v>3139.9172271835623</v>
          </cell>
        </row>
        <row r="36">
          <cell r="E36">
            <v>101784.78440442267</v>
          </cell>
          <cell r="F36">
            <v>72.889814117348465</v>
          </cell>
          <cell r="H36">
            <v>47.096540168281031</v>
          </cell>
          <cell r="I36">
            <v>3978.0067336176076</v>
          </cell>
        </row>
      </sheetData>
      <sheetData sheetId="6">
        <row r="19">
          <cell r="E19">
            <v>0</v>
          </cell>
          <cell r="F19">
            <v>284.60390967860326</v>
          </cell>
          <cell r="H19">
            <v>-4.0937929999999998</v>
          </cell>
          <cell r="I19">
            <v>800</v>
          </cell>
        </row>
        <row r="20">
          <cell r="E20">
            <v>5654.7102446901481</v>
          </cell>
          <cell r="F20">
            <v>283.63015918273595</v>
          </cell>
          <cell r="H20">
            <v>32.769931125751434</v>
          </cell>
          <cell r="I20">
            <v>1235.9248093692947</v>
          </cell>
        </row>
        <row r="21">
          <cell r="E21">
            <v>11309.420489380296</v>
          </cell>
          <cell r="F21">
            <v>282.32106151460493</v>
          </cell>
          <cell r="H21">
            <v>44.552026365808224</v>
          </cell>
          <cell r="I21">
            <v>1809.7599877227742</v>
          </cell>
        </row>
        <row r="22">
          <cell r="E22">
            <v>16964.130734070444</v>
          </cell>
          <cell r="F22">
            <v>280.62143872503043</v>
          </cell>
          <cell r="H22">
            <v>52.358335125669278</v>
          </cell>
          <cell r="I22">
            <v>2295.9976706516709</v>
          </cell>
        </row>
        <row r="23">
          <cell r="E23">
            <v>22618.840978760592</v>
          </cell>
          <cell r="F23">
            <v>278.49043707319078</v>
          </cell>
          <cell r="H23">
            <v>58.165465707111878</v>
          </cell>
          <cell r="I23">
            <v>2734.7664193283617</v>
          </cell>
        </row>
        <row r="24">
          <cell r="E24">
            <v>28273.551223450744</v>
          </cell>
          <cell r="F24">
            <v>275.90201786958721</v>
          </cell>
          <cell r="H24">
            <v>62.726445532392709</v>
          </cell>
          <cell r="I24">
            <v>3140.4318461172725</v>
          </cell>
        </row>
        <row r="25">
          <cell r="E25">
            <v>33928.261468140889</v>
          </cell>
          <cell r="F25">
            <v>272.84510084329219</v>
          </cell>
          <cell r="H25">
            <v>66.416533001927888</v>
          </cell>
          <cell r="I25">
            <v>3519.7059244709994</v>
          </cell>
        </row>
        <row r="26">
          <cell r="E26">
            <v>39582.971712831044</v>
          </cell>
          <cell r="F26">
            <v>269.32328822176822</v>
          </cell>
          <cell r="H26">
            <v>69.448227133499174</v>
          </cell>
          <cell r="I26">
            <v>3876.3765234392085</v>
          </cell>
        </row>
        <row r="27">
          <cell r="E27">
            <v>45237.681957521185</v>
          </cell>
          <cell r="F27">
            <v>265.35414000721357</v>
          </cell>
          <cell r="H27">
            <v>71.949964526274556</v>
          </cell>
          <cell r="I27">
            <v>4213.087129155404</v>
          </cell>
        </row>
        <row r="28">
          <cell r="E28">
            <v>50892.392202211333</v>
          </cell>
          <cell r="F28">
            <v>260.96801410809252</v>
          </cell>
          <cell r="H28">
            <v>74.001476463385515</v>
          </cell>
          <cell r="I28">
            <v>4532.1531328549681</v>
          </cell>
        </row>
        <row r="29">
          <cell r="E29">
            <v>56547.102446901488</v>
          </cell>
          <cell r="F29">
            <v>256.2065248654842</v>
          </cell>
          <cell r="H29">
            <v>75.65209243477824</v>
          </cell>
          <cell r="I29">
            <v>4835.9790562234675</v>
          </cell>
        </row>
        <row r="30">
          <cell r="E30">
            <v>62201.812691591629</v>
          </cell>
          <cell r="F30">
            <v>251.12070616305218</v>
          </cell>
          <cell r="H30">
            <v>76.9313523373457</v>
          </cell>
          <cell r="I30">
            <v>5127.279735081358</v>
          </cell>
        </row>
        <row r="31">
          <cell r="E31">
            <v>67856.522936281777</v>
          </cell>
          <cell r="F31">
            <v>245.76898773308471</v>
          </cell>
          <cell r="H31">
            <v>77.85581452346463</v>
          </cell>
          <cell r="I31">
            <v>5409.1925870129789</v>
          </cell>
        </row>
        <row r="32">
          <cell r="E32">
            <v>73511.233180971933</v>
          </cell>
          <cell r="F32">
            <v>240.21510391176363</v>
          </cell>
          <cell r="H32">
            <v>78.433856979743354</v>
          </cell>
          <cell r="I32">
            <v>5685.3245450995701</v>
          </cell>
        </row>
        <row r="33">
          <cell r="E33">
            <v>79165.943425662088</v>
          </cell>
          <cell r="F33">
            <v>234.52605302036019</v>
          </cell>
          <cell r="H33">
            <v>78.669364249633603</v>
          </cell>
          <cell r="I33">
            <v>5959.7584740347256</v>
          </cell>
        </row>
        <row r="34">
          <cell r="E34">
            <v>84820.653670352214</v>
          </cell>
          <cell r="F34">
            <v>228.77021431529786</v>
          </cell>
          <cell r="H34">
            <v>78.564757516476931</v>
          </cell>
          <cell r="I34">
            <v>6237.0343184602061</v>
          </cell>
        </row>
        <row r="35">
          <cell r="E35">
            <v>90475.36391504237</v>
          </cell>
          <cell r="F35">
            <v>223.01571073132433</v>
          </cell>
          <cell r="H35">
            <v>78.123594881286508</v>
          </cell>
          <cell r="I35">
            <v>6522.1140994694033</v>
          </cell>
        </row>
        <row r="36">
          <cell r="E36">
            <v>101784.78440442267</v>
          </cell>
          <cell r="F36">
            <v>211.77431449965653</v>
          </cell>
          <cell r="H36">
            <v>76.264782152485026</v>
          </cell>
          <cell r="I36">
            <v>7137.3488758790609</v>
          </cell>
        </row>
      </sheetData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8"/>
  <sheetViews>
    <sheetView topLeftCell="A3" workbookViewId="0">
      <selection activeCell="G12" sqref="G12"/>
    </sheetView>
  </sheetViews>
  <sheetFormatPr defaultRowHeight="12.5"/>
  <cols>
    <col min="1" max="1" width="25.453125" bestFit="1" customWidth="1"/>
    <col min="3" max="4" width="9.6328125" bestFit="1" customWidth="1"/>
    <col min="5" max="5" width="8.7265625" customWidth="1"/>
    <col min="6" max="6" width="25.453125" bestFit="1" customWidth="1"/>
    <col min="8" max="9" width="9.6328125" bestFit="1" customWidth="1"/>
  </cols>
  <sheetData>
    <row r="1" spans="1:9">
      <c r="A1" t="s">
        <v>80</v>
      </c>
      <c r="F1" t="s">
        <v>90</v>
      </c>
    </row>
    <row r="2" spans="1:9">
      <c r="A2" t="s">
        <v>81</v>
      </c>
      <c r="B2" t="s">
        <v>82</v>
      </c>
      <c r="F2" t="s">
        <v>81</v>
      </c>
    </row>
    <row r="3" spans="1:9">
      <c r="A3" t="s">
        <v>83</v>
      </c>
      <c r="B3">
        <v>0.17499999999999999</v>
      </c>
      <c r="F3" t="s">
        <v>83</v>
      </c>
      <c r="G3">
        <v>0.17499999999999999</v>
      </c>
    </row>
    <row r="4" spans="1:9">
      <c r="A4" t="s">
        <v>84</v>
      </c>
      <c r="B4">
        <v>0.318</v>
      </c>
      <c r="F4" t="s">
        <v>84</v>
      </c>
      <c r="G4">
        <v>0.318</v>
      </c>
    </row>
    <row r="5" spans="1:9">
      <c r="A5" t="s">
        <v>85</v>
      </c>
      <c r="B5">
        <v>1.0249999999999999</v>
      </c>
      <c r="F5" t="s">
        <v>85</v>
      </c>
      <c r="G5">
        <v>1.0249999999999999</v>
      </c>
    </row>
    <row r="6" spans="1:9">
      <c r="A6" t="s">
        <v>86</v>
      </c>
      <c r="B6">
        <v>2.65</v>
      </c>
      <c r="F6" t="s">
        <v>86</v>
      </c>
      <c r="G6">
        <v>2.65</v>
      </c>
    </row>
    <row r="7" spans="1:9">
      <c r="A7" t="s">
        <v>87</v>
      </c>
      <c r="B7">
        <v>1.3089999999999999</v>
      </c>
      <c r="F7" t="s">
        <v>87</v>
      </c>
      <c r="G7">
        <v>1.3089999999999999</v>
      </c>
    </row>
    <row r="8" spans="1:9">
      <c r="A8" t="s">
        <v>88</v>
      </c>
      <c r="B8">
        <v>1.92</v>
      </c>
      <c r="F8" t="s">
        <v>88</v>
      </c>
      <c r="G8">
        <v>1.92</v>
      </c>
    </row>
    <row r="12" spans="1:9">
      <c r="A12" t="s">
        <v>91</v>
      </c>
      <c r="B12" s="3">
        <f>'Test Pipeline'!C13</f>
        <v>7.9157707125903425</v>
      </c>
      <c r="C12" s="18" cm="1">
        <f t="array" ref="C12">raninterp(B19:B116,C19:C116,B12)</f>
        <v>7.8682324361017186E-2</v>
      </c>
      <c r="D12" s="18" cm="1">
        <f t="array" ref="D12">raninterp(B19:B116,D19:D116,B12)</f>
        <v>9.2174645943667796E-2</v>
      </c>
      <c r="G12" s="3">
        <f>'Test Pipeline'!C12</f>
        <v>5.4970629948544047</v>
      </c>
      <c r="H12" s="18" cm="1">
        <f t="array" ref="H12">raninterp(G19:G116,H19:H116,G12)</f>
        <v>3.1052467491161972E-2</v>
      </c>
      <c r="I12" s="18" cm="1">
        <f t="array" ref="I12">raninterp(G19:G116,I19:I116,G12)</f>
        <v>7.2795931971790559E-2</v>
      </c>
    </row>
    <row r="13" spans="1:9">
      <c r="A13" t="s">
        <v>93</v>
      </c>
      <c r="B13" s="3">
        <f>'Test Pipeline qimin'!C13</f>
        <v>5.6999998352694359</v>
      </c>
      <c r="C13" s="18" cm="1">
        <f t="array" ref="C13">raninterp(B19:B116,C19:C116,B13)</f>
        <v>4.1382103192732507E-2</v>
      </c>
      <c r="D13" s="18" cm="1">
        <f t="array" ref="D13">raninterp(B19:B116,D19:D116,B13)</f>
        <v>7.6634200709487135E-2</v>
      </c>
      <c r="G13">
        <f>'Test Pipeline qimin'!C12</f>
        <v>3.9583332189371081</v>
      </c>
      <c r="H13" s="18" cm="1">
        <f t="array" ref="H13">raninterp(G19:G116,H19:H116,G13)</f>
        <v>1.6397395682476272E-2</v>
      </c>
      <c r="I13" s="18" cm="1">
        <f t="array" ref="I13">raninterp(G19:G116,I19:I116,G13)</f>
        <v>0.1079148041625147</v>
      </c>
    </row>
    <row r="14" spans="1:9">
      <c r="B14" s="3"/>
      <c r="C14" s="18"/>
      <c r="D14" s="18"/>
      <c r="H14" s="18"/>
      <c r="I14" s="18"/>
    </row>
    <row r="15" spans="1:9">
      <c r="B15" s="3"/>
      <c r="C15" s="18"/>
      <c r="D15" s="18"/>
      <c r="H15" s="18"/>
      <c r="I15" s="18"/>
    </row>
    <row r="16" spans="1:9">
      <c r="B16" s="3"/>
      <c r="C16" s="18"/>
      <c r="D16" s="18"/>
      <c r="H16" s="18"/>
      <c r="I16" s="18"/>
    </row>
    <row r="18" spans="2:9">
      <c r="B18" t="s">
        <v>89</v>
      </c>
      <c r="C18" t="s">
        <v>0</v>
      </c>
      <c r="D18" t="s">
        <v>1</v>
      </c>
      <c r="G18" t="s">
        <v>89</v>
      </c>
      <c r="H18" t="s">
        <v>0</v>
      </c>
      <c r="I18" t="s">
        <v>1</v>
      </c>
    </row>
    <row r="19" spans="2:9">
      <c r="B19">
        <v>0.1</v>
      </c>
      <c r="C19" s="18">
        <v>2.17719495080065E-5</v>
      </c>
      <c r="D19" s="18">
        <v>0.34711558580749502</v>
      </c>
      <c r="G19">
        <v>0.1</v>
      </c>
      <c r="H19" s="18">
        <v>1.7405410367373898E-5</v>
      </c>
      <c r="I19" s="18">
        <v>0.347525113087155</v>
      </c>
    </row>
    <row r="20" spans="2:9">
      <c r="B20">
        <v>0.2</v>
      </c>
      <c r="C20" s="18">
        <v>7.5736383467902202E-5</v>
      </c>
      <c r="D20" s="18">
        <v>0.34117960829938498</v>
      </c>
      <c r="G20">
        <v>0.2</v>
      </c>
      <c r="H20" s="18">
        <v>6.0702432206847503E-5</v>
      </c>
      <c r="I20" s="18">
        <v>0.34206597487966101</v>
      </c>
    </row>
    <row r="21" spans="2:9">
      <c r="B21">
        <v>0.3</v>
      </c>
      <c r="C21" s="18">
        <v>1.5833281858725301E-4</v>
      </c>
      <c r="D21" s="18">
        <v>0.33487311480878001</v>
      </c>
      <c r="G21">
        <v>0.3</v>
      </c>
      <c r="H21" s="18">
        <v>1.2705823351707199E-4</v>
      </c>
      <c r="I21" s="18">
        <v>0.33625993063269</v>
      </c>
    </row>
    <row r="22" spans="2:9">
      <c r="B22">
        <v>0.4</v>
      </c>
      <c r="C22" s="18">
        <v>2.6822389627501698E-4</v>
      </c>
      <c r="D22" s="18">
        <v>0.32835374128494499</v>
      </c>
      <c r="G22">
        <v>0.4</v>
      </c>
      <c r="H22" s="18">
        <v>2.15403319245973E-4</v>
      </c>
      <c r="I22" s="18">
        <v>0.33024562737497598</v>
      </c>
    </row>
    <row r="23" spans="2:9">
      <c r="B23">
        <v>0.5</v>
      </c>
      <c r="C23" s="18">
        <v>4.04652656587182E-4</v>
      </c>
      <c r="D23" s="18">
        <v>0.32172102994332302</v>
      </c>
      <c r="G23">
        <v>0.5</v>
      </c>
      <c r="H23" s="18">
        <v>3.2513065814886399E-4</v>
      </c>
      <c r="I23" s="18">
        <v>0.32411068825292899</v>
      </c>
    </row>
    <row r="24" spans="2:9">
      <c r="B24">
        <v>0.6</v>
      </c>
      <c r="C24" s="18">
        <v>5.6712636175839997E-4</v>
      </c>
      <c r="D24" s="18">
        <v>0.31504564105281702</v>
      </c>
      <c r="G24">
        <v>0.6</v>
      </c>
      <c r="H24" s="18">
        <v>4.5584427043730499E-4</v>
      </c>
      <c r="I24" s="18">
        <v>0.31791761313016498</v>
      </c>
    </row>
    <row r="25" spans="2:9">
      <c r="B25">
        <v>0.7</v>
      </c>
      <c r="C25" s="18">
        <v>7.5529813062719597E-4</v>
      </c>
      <c r="D25" s="18">
        <v>0.308380486899339</v>
      </c>
      <c r="G25">
        <v>0.7</v>
      </c>
      <c r="H25" s="18">
        <v>6.07264909052701E-4</v>
      </c>
      <c r="I25" s="18">
        <v>0.31171357788387499</v>
      </c>
    </row>
    <row r="26" spans="2:9">
      <c r="B26">
        <v>0.8</v>
      </c>
      <c r="C26" s="18">
        <v>9.6891088635134499E-4</v>
      </c>
      <c r="D26" s="18">
        <v>0.30176627400880801</v>
      </c>
      <c r="G26">
        <v>0.8</v>
      </c>
      <c r="H26" s="18">
        <v>7.7918531909681305E-4</v>
      </c>
      <c r="I26" s="18">
        <v>0.30553526766000599</v>
      </c>
    </row>
    <row r="27" spans="2:9">
      <c r="B27">
        <v>0.9</v>
      </c>
      <c r="C27" s="18">
        <v>1.20776696502215E-3</v>
      </c>
      <c r="D27" s="18">
        <v>0.29523473274034401</v>
      </c>
      <c r="G27">
        <v>0.9</v>
      </c>
      <c r="H27" s="18">
        <v>9.7144594386051799E-4</v>
      </c>
      <c r="I27" s="18">
        <v>0.29941166507905398</v>
      </c>
    </row>
    <row r="28" spans="2:9">
      <c r="B28">
        <v>1</v>
      </c>
      <c r="C28" s="18">
        <v>1.47171008460453E-3</v>
      </c>
      <c r="D28" s="18">
        <v>0.28881070834511802</v>
      </c>
      <c r="G28">
        <v>1</v>
      </c>
      <c r="H28" s="18">
        <v>1.1839204922426E-3</v>
      </c>
      <c r="I28" s="18">
        <v>0.293365837904973</v>
      </c>
    </row>
    <row r="29" spans="2:9">
      <c r="B29">
        <v>1.1000000000000001</v>
      </c>
      <c r="C29" s="18">
        <v>1.7606139299392899E-3</v>
      </c>
      <c r="D29" s="18">
        <v>0.282513618914433</v>
      </c>
      <c r="G29">
        <v>1.1000000000000001</v>
      </c>
      <c r="H29" s="18">
        <v>1.4165067908084999E-3</v>
      </c>
      <c r="I29" s="18">
        <v>0.28741617494167798</v>
      </c>
    </row>
    <row r="30" spans="2:9">
      <c r="B30">
        <v>1.2</v>
      </c>
      <c r="C30" s="18">
        <v>2.07437456122207E-3</v>
      </c>
      <c r="D30" s="18">
        <v>0.27635852734657901</v>
      </c>
      <c r="G30">
        <v>1.2</v>
      </c>
      <c r="H30" s="18">
        <v>1.66912069319123E-3</v>
      </c>
      <c r="I30" s="18">
        <v>0.28157728888908001</v>
      </c>
    </row>
    <row r="31" spans="2:9">
      <c r="B31">
        <v>1.3</v>
      </c>
      <c r="C31" s="18">
        <v>2.4129051653420598E-3</v>
      </c>
      <c r="D31" s="18">
        <v>0.27035696037027301</v>
      </c>
      <c r="G31">
        <v>1.3</v>
      </c>
      <c r="H31" s="18">
        <v>1.9416918647947401E-3</v>
      </c>
      <c r="I31" s="18">
        <v>0.275860703332861</v>
      </c>
    </row>
    <row r="32" spans="2:9">
      <c r="B32">
        <v>1.4</v>
      </c>
      <c r="C32" s="18">
        <v>2.7761323109353401E-3</v>
      </c>
      <c r="D32" s="18">
        <v>0.26451755198848897</v>
      </c>
      <c r="G32">
        <v>1.4</v>
      </c>
      <c r="H32" s="18">
        <v>2.2341607722666502E-3</v>
      </c>
      <c r="I32" s="18">
        <v>0.27027539153228303</v>
      </c>
    </row>
    <row r="33" spans="2:9">
      <c r="B33">
        <v>1.5</v>
      </c>
      <c r="C33" s="18">
        <v>3.1639932056492302E-3</v>
      </c>
      <c r="D33" s="18">
        <v>0.25884655932467698</v>
      </c>
      <c r="G33">
        <v>1.5</v>
      </c>
      <c r="H33" s="18">
        <v>2.5464764766605099E-3</v>
      </c>
      <c r="I33" s="18">
        <v>0.26482820859143402</v>
      </c>
    </row>
    <row r="34" spans="2:9">
      <c r="B34">
        <v>1.6</v>
      </c>
      <c r="C34" s="18">
        <v>3.5764336426289001E-3</v>
      </c>
      <c r="D34" s="18">
        <v>0.25334828231328599</v>
      </c>
      <c r="G34">
        <v>1.6</v>
      </c>
      <c r="H34" s="18">
        <v>2.8785949797678402E-3</v>
      </c>
      <c r="I34" s="18">
        <v>0.25952424396801699</v>
      </c>
    </row>
    <row r="35" spans="2:9">
      <c r="B35">
        <v>1.7</v>
      </c>
      <c r="C35" s="18">
        <v>4.0134064337058297E-3</v>
      </c>
      <c r="D35" s="18">
        <v>0.248025408836721</v>
      </c>
      <c r="G35">
        <v>1.7</v>
      </c>
      <c r="H35" s="18">
        <v>3.23047796139258E-3</v>
      </c>
      <c r="I35" s="18">
        <v>0.25436711261536599</v>
      </c>
    </row>
    <row r="36" spans="2:9">
      <c r="B36">
        <v>1.8</v>
      </c>
      <c r="C36" s="18">
        <v>4.4748701941731001E-3</v>
      </c>
      <c r="D36" s="18">
        <v>0.24287930076491801</v>
      </c>
      <c r="G36">
        <v>1.8</v>
      </c>
      <c r="H36" s="18">
        <v>3.60209179925406E-3</v>
      </c>
      <c r="I36" s="18">
        <v>0.24935919768577899</v>
      </c>
    </row>
    <row r="37" spans="2:9">
      <c r="B37">
        <v>1.9</v>
      </c>
      <c r="C37" s="18">
        <v>4.9607883866013497E-3</v>
      </c>
      <c r="D37" s="18">
        <v>0.23791023234339001</v>
      </c>
      <c r="G37">
        <v>1.9</v>
      </c>
      <c r="H37" s="18">
        <v>3.9934067972756402E-3</v>
      </c>
      <c r="I37" s="18">
        <v>0.24450185425481399</v>
      </c>
    </row>
    <row r="38" spans="2:9">
      <c r="B38">
        <v>2</v>
      </c>
      <c r="C38" s="18">
        <v>5.4711285588399401E-3</v>
      </c>
      <c r="D38" s="18">
        <v>0.233117589653038</v>
      </c>
      <c r="G38">
        <v>2</v>
      </c>
      <c r="H38" s="18">
        <v>4.4043965701943697E-3</v>
      </c>
      <c r="I38" s="18">
        <v>0.23979558119896899</v>
      </c>
    </row>
    <row r="39" spans="2:9">
      <c r="B39">
        <v>2.1</v>
      </c>
      <c r="C39" s="18">
        <v>6.00586172983145E-3</v>
      </c>
      <c r="D39" s="18">
        <v>0.22850003794930199</v>
      </c>
      <c r="G39">
        <v>2.1</v>
      </c>
      <c r="H39" s="18">
        <v>4.8350375472404599E-3</v>
      </c>
      <c r="I39" s="18">
        <v>0.235240166743138</v>
      </c>
    </row>
    <row r="40" spans="2:9">
      <c r="B40">
        <v>2.2000000000000002</v>
      </c>
      <c r="C40" s="18">
        <v>6.5649618894889402E-3</v>
      </c>
      <c r="D40" s="18">
        <v>0.22359341044306899</v>
      </c>
      <c r="G40">
        <v>2.2000000000000002</v>
      </c>
      <c r="H40" s="18">
        <v>5.2853085677567998E-3</v>
      </c>
      <c r="I40" s="18">
        <v>0.23083481203635101</v>
      </c>
    </row>
    <row r="41" spans="2:9">
      <c r="B41">
        <v>2.2999999999999998</v>
      </c>
      <c r="C41" s="18">
        <v>7.14840558767785E-3</v>
      </c>
      <c r="D41" s="18">
        <v>0.21720659140954099</v>
      </c>
      <c r="G41">
        <v>2.2999999999999998</v>
      </c>
      <c r="H41" s="18">
        <v>5.75519054868416E-3</v>
      </c>
      <c r="I41" s="18">
        <v>0.224757167493704</v>
      </c>
    </row>
    <row r="42" spans="2:9">
      <c r="B42">
        <v>2.4</v>
      </c>
      <c r="C42" s="18">
        <v>7.7561715935818201E-3</v>
      </c>
      <c r="D42" s="18">
        <v>0.21081266373298699</v>
      </c>
      <c r="G42">
        <v>2.4</v>
      </c>
      <c r="H42" s="18">
        <v>6.2446662088456398E-3</v>
      </c>
      <c r="I42" s="18">
        <v>0.21871442196990901</v>
      </c>
    </row>
    <row r="43" spans="2:9">
      <c r="B43">
        <v>2.5</v>
      </c>
      <c r="C43" s="18">
        <v>8.3882406112277593E-3</v>
      </c>
      <c r="D43" s="18">
        <v>0.20351802293502999</v>
      </c>
      <c r="G43">
        <v>2.5</v>
      </c>
      <c r="H43" s="18">
        <v>6.7537198385757497E-3</v>
      </c>
      <c r="I43" s="18">
        <v>0.21146381528180599</v>
      </c>
    </row>
    <row r="44" spans="2:9">
      <c r="B44">
        <v>2.6</v>
      </c>
      <c r="C44" s="18">
        <v>9.0445950402342698E-3</v>
      </c>
      <c r="D44" s="18">
        <v>0.19600040246473799</v>
      </c>
      <c r="G44">
        <v>2.6</v>
      </c>
      <c r="H44" s="18">
        <v>7.2823371058831901E-3</v>
      </c>
      <c r="I44" s="18">
        <v>0.20437332711814299</v>
      </c>
    </row>
    <row r="45" spans="2:9">
      <c r="B45">
        <v>2.7</v>
      </c>
      <c r="C45" s="18">
        <v>9.7252187732860106E-3</v>
      </c>
      <c r="D45" s="18">
        <v>0.188705613473796</v>
      </c>
      <c r="G45">
        <v>2.7</v>
      </c>
      <c r="H45" s="18">
        <v>7.8305048922973196E-3</v>
      </c>
      <c r="I45" s="18">
        <v>0.19630244353649101</v>
      </c>
    </row>
    <row r="46" spans="2:9">
      <c r="B46">
        <v>2.8</v>
      </c>
      <c r="C46" s="18">
        <v>1.0430097023665499E-2</v>
      </c>
      <c r="D46" s="18">
        <v>0.18072672767345499</v>
      </c>
      <c r="G46">
        <v>2.8</v>
      </c>
      <c r="H46" s="18">
        <v>8.3982111530201495E-3</v>
      </c>
      <c r="I46" s="18">
        <v>0.18824743098617999</v>
      </c>
    </row>
    <row r="47" spans="2:9">
      <c r="B47">
        <v>2.9</v>
      </c>
      <c r="C47" s="18">
        <v>1.1159216177562801E-2</v>
      </c>
      <c r="D47" s="18">
        <v>0.17310601762217101</v>
      </c>
      <c r="G47">
        <v>2.9</v>
      </c>
      <c r="H47" s="18">
        <v>8.9854447971230295E-3</v>
      </c>
      <c r="I47" s="18">
        <v>0.18033783338195999</v>
      </c>
    </row>
    <row r="48" spans="2:9">
      <c r="B48">
        <v>3</v>
      </c>
      <c r="C48" s="18">
        <v>1.1912563666945699E-2</v>
      </c>
      <c r="D48" s="18">
        <v>0.16569543095308001</v>
      </c>
      <c r="G48">
        <v>3</v>
      </c>
      <c r="H48" s="18">
        <v>9.5921955843847207E-3</v>
      </c>
      <c r="I48" s="18">
        <v>0.17247751680582099</v>
      </c>
    </row>
    <row r="49" spans="2:9">
      <c r="B49">
        <v>3.1</v>
      </c>
      <c r="C49" s="18">
        <v>1.26901278595993E-2</v>
      </c>
      <c r="D49" s="18">
        <v>0.15841174297279301</v>
      </c>
      <c r="G49">
        <v>3.1</v>
      </c>
      <c r="H49" s="18">
        <v>1.02184540360303E-2</v>
      </c>
      <c r="I49" s="18">
        <v>0.16473142317234099</v>
      </c>
    </row>
    <row r="50" spans="2:9">
      <c r="B50">
        <v>3.2</v>
      </c>
      <c r="C50" s="18">
        <v>1.3491897963584701E-2</v>
      </c>
      <c r="D50" s="18">
        <v>0.15129092516554901</v>
      </c>
      <c r="G50">
        <v>3.2</v>
      </c>
      <c r="H50" s="18">
        <v>1.08642113571498E-2</v>
      </c>
      <c r="I50" s="18">
        <v>0.15710534116575101</v>
      </c>
    </row>
    <row r="51" spans="2:9">
      <c r="B51">
        <v>3.3</v>
      </c>
      <c r="C51" s="18">
        <v>1.4317863943872199E-2</v>
      </c>
      <c r="D51" s="18">
        <v>0.14421788415048301</v>
      </c>
      <c r="G51">
        <v>3.3</v>
      </c>
      <c r="H51" s="18">
        <v>1.1529459368982E-2</v>
      </c>
      <c r="I51" s="18">
        <v>0.14955449123720899</v>
      </c>
    </row>
    <row r="52" spans="2:9">
      <c r="B52">
        <v>3.4</v>
      </c>
      <c r="C52" s="18">
        <v>1.51680164493088E-2</v>
      </c>
      <c r="D52" s="18">
        <v>0.137071239851495</v>
      </c>
      <c r="G52">
        <v>3.4</v>
      </c>
      <c r="H52" s="18">
        <v>1.2214190449574201E-2</v>
      </c>
      <c r="I52" s="18">
        <v>0.14212018195863699</v>
      </c>
    </row>
    <row r="53" spans="2:9">
      <c r="B53">
        <v>3.5</v>
      </c>
      <c r="C53" s="18">
        <v>1.6042346748395601E-2</v>
      </c>
      <c r="D53" s="18">
        <v>0.129997450726208</v>
      </c>
      <c r="G53">
        <v>3.5</v>
      </c>
      <c r="H53" s="18">
        <v>1.2918397481587299E-2</v>
      </c>
      <c r="I53" s="18">
        <v>0.134737625576687</v>
      </c>
    </row>
    <row r="54" spans="2:9">
      <c r="B54">
        <v>3.6</v>
      </c>
      <c r="C54" s="18">
        <v>1.6940846672614501E-2</v>
      </c>
      <c r="D54" s="18">
        <v>0.123653688895214</v>
      </c>
      <c r="G54">
        <v>3.6</v>
      </c>
      <c r="H54" s="18">
        <v>1.36420738062225E-2</v>
      </c>
      <c r="I54" s="18">
        <v>0.127751211993373</v>
      </c>
    </row>
    <row r="55" spans="2:9">
      <c r="B55">
        <v>3.7</v>
      </c>
      <c r="C55" s="18">
        <v>1.78635085662463E-2</v>
      </c>
      <c r="D55" s="18">
        <v>0.117960301132904</v>
      </c>
      <c r="G55">
        <v>3.7</v>
      </c>
      <c r="H55" s="18">
        <v>1.4385213182416199E-2</v>
      </c>
      <c r="I55" s="18">
        <v>0.12145066521077801</v>
      </c>
    </row>
    <row r="56" spans="2:9">
      <c r="B56">
        <v>3.8</v>
      </c>
      <c r="C56" s="18">
        <v>1.8810325241796301E-2</v>
      </c>
      <c r="D56" s="18">
        <v>0.112848339998946</v>
      </c>
      <c r="G56">
        <v>3.8</v>
      </c>
      <c r="H56" s="18">
        <v>1.5147809750586E-2</v>
      </c>
      <c r="I56" s="18">
        <v>0.115762870545949</v>
      </c>
    </row>
    <row r="57" spans="2:9">
      <c r="B57">
        <v>3.9</v>
      </c>
      <c r="C57" s="18">
        <v>1.9781289940282502E-2</v>
      </c>
      <c r="D57" s="18">
        <v>0.10825790212105001</v>
      </c>
      <c r="G57">
        <v>3.9</v>
      </c>
      <c r="H57" s="18">
        <v>1.59298580003236E-2</v>
      </c>
      <c r="I57" s="18">
        <v>0.110624278092113</v>
      </c>
    </row>
    <row r="58" spans="2:9">
      <c r="B58">
        <v>4</v>
      </c>
      <c r="C58" s="18">
        <v>2.07763962957512E-2</v>
      </c>
      <c r="D58" s="18">
        <v>0.104136757513503</v>
      </c>
      <c r="G58">
        <v>4</v>
      </c>
      <c r="H58" s="18">
        <v>1.6731352741522001E-2</v>
      </c>
      <c r="I58" s="18">
        <v>0.105979456532515</v>
      </c>
    </row>
    <row r="59" spans="2:9">
      <c r="B59">
        <v>4.0999999999999996</v>
      </c>
      <c r="C59" s="18">
        <v>2.17956383034873E-2</v>
      </c>
      <c r="D59" s="18">
        <v>0.100439213399855</v>
      </c>
      <c r="G59">
        <v>4.0999999999999996</v>
      </c>
      <c r="H59" s="18">
        <v>1.7552289078502599E-2</v>
      </c>
      <c r="I59" s="18">
        <v>0.101779893884323</v>
      </c>
    </row>
    <row r="60" spans="2:9">
      <c r="B60">
        <v>4.2</v>
      </c>
      <c r="C60" s="18">
        <v>2.2839010291457702E-2</v>
      </c>
      <c r="D60" s="18">
        <v>9.7125168024762495E-2</v>
      </c>
      <c r="G60">
        <v>4.2</v>
      </c>
      <c r="H60" s="18">
        <v>1.83926623867702E-2</v>
      </c>
      <c r="I60" s="18">
        <v>9.7982998376330496E-2</v>
      </c>
    </row>
    <row r="61" spans="2:9">
      <c r="B61">
        <v>4.3</v>
      </c>
      <c r="C61" s="18">
        <v>2.39065068945968E-2</v>
      </c>
      <c r="D61" s="18">
        <v>9.4159319191068E-2</v>
      </c>
      <c r="G61">
        <v>4.3</v>
      </c>
      <c r="H61" s="18">
        <v>1.9252468292076899E-2</v>
      </c>
      <c r="I61" s="18">
        <v>9.4551262376095499E-2</v>
      </c>
    </row>
    <row r="62" spans="2:9">
      <c r="B62">
        <v>4.4000000000000004</v>
      </c>
      <c r="C62" s="18">
        <v>2.4998123031595699E-2</v>
      </c>
      <c r="D62" s="18">
        <v>9.1510499426870298E-2</v>
      </c>
      <c r="G62">
        <v>4.4000000000000004</v>
      </c>
      <c r="H62" s="18">
        <v>2.0131702651522199E-2</v>
      </c>
      <c r="I62" s="18">
        <v>9.1451559810369995E-2</v>
      </c>
    </row>
    <row r="63" spans="2:9">
      <c r="B63">
        <v>4.5</v>
      </c>
      <c r="C63" s="18">
        <v>2.6113853883904501E-2</v>
      </c>
      <c r="D63" s="18">
        <v>8.9151115276857595E-2</v>
      </c>
      <c r="G63">
        <v>4.5</v>
      </c>
      <c r="H63" s="18">
        <v>2.1030361536451499E-2</v>
      </c>
      <c r="I63" s="18">
        <v>8.8654553394470301E-2</v>
      </c>
    </row>
    <row r="64" spans="2:9">
      <c r="B64">
        <v>4.5999999999999996</v>
      </c>
      <c r="C64" s="18">
        <v>2.7253694876695302E-2</v>
      </c>
      <c r="D64" s="18">
        <v>8.7056672596306298E-2</v>
      </c>
      <c r="G64">
        <v>4.5999999999999996</v>
      </c>
      <c r="H64" s="18">
        <v>2.19484412169491E-2</v>
      </c>
      <c r="I64" s="18">
        <v>8.6134192593231698E-2</v>
      </c>
    </row>
    <row r="65" spans="2:9">
      <c r="B65">
        <v>4.7</v>
      </c>
      <c r="C65" s="18">
        <v>2.8417641661566E-2</v>
      </c>
      <c r="D65" s="18">
        <v>8.5205373184131294E-2</v>
      </c>
      <c r="G65">
        <v>4.7</v>
      </c>
      <c r="H65" s="18">
        <v>2.28859381477487E-2</v>
      </c>
      <c r="I65" s="18">
        <v>8.3867286871174604E-2</v>
      </c>
    </row>
    <row r="66" spans="2:9">
      <c r="B66">
        <v>4.8</v>
      </c>
      <c r="C66" s="18">
        <v>2.96056901007965E-2</v>
      </c>
      <c r="D66" s="18">
        <v>8.3577770833583795E-2</v>
      </c>
      <c r="G66">
        <v>4.8</v>
      </c>
      <c r="H66" s="18">
        <v>2.38428489554047E-2</v>
      </c>
      <c r="I66" s="18">
        <v>8.1833141672994006E-2</v>
      </c>
    </row>
    <row r="67" spans="2:9">
      <c r="B67">
        <v>4.9000000000000004</v>
      </c>
      <c r="C67" s="18">
        <v>3.08178362529886E-2</v>
      </c>
      <c r="D67" s="18">
        <v>8.2156477064923003E-2</v>
      </c>
      <c r="G67">
        <v>4.9000000000000004</v>
      </c>
      <c r="H67" s="18">
        <v>2.48191704265904E-2</v>
      </c>
      <c r="I67" s="18">
        <v>8.0013246874569996E-2</v>
      </c>
    </row>
    <row r="68" spans="2:9">
      <c r="B68">
        <v>5</v>
      </c>
      <c r="C68" s="18">
        <v>3.20540763599447E-2</v>
      </c>
      <c r="D68" s="18">
        <v>8.0925908555124507E-2</v>
      </c>
      <c r="G68">
        <v>5</v>
      </c>
      <c r="H68" s="18">
        <v>2.58148994974053E-2</v>
      </c>
      <c r="I68" s="18">
        <v>7.8391009286823105E-2</v>
      </c>
    </row>
    <row r="69" spans="2:9">
      <c r="B69">
        <v>5.0999999999999996</v>
      </c>
      <c r="C69" s="18">
        <v>3.3314406834657799E-2</v>
      </c>
      <c r="D69" s="18">
        <v>7.9872069688576894E-2</v>
      </c>
      <c r="G69">
        <v>5.0999999999999996</v>
      </c>
      <c r="H69" s="18">
        <v>2.6830033243584898E-2</v>
      </c>
      <c r="I69" s="18">
        <v>7.6951522277642403E-2</v>
      </c>
    </row>
    <row r="70" spans="2:9">
      <c r="B70">
        <v>5.2</v>
      </c>
      <c r="C70" s="18">
        <v>3.4598824250298602E-2</v>
      </c>
      <c r="D70" s="18">
        <v>7.8982364791610707E-2</v>
      </c>
      <c r="G70">
        <v>5.2</v>
      </c>
      <c r="H70" s="18">
        <v>2.78645688715243E-2</v>
      </c>
      <c r="I70" s="18">
        <v>7.5681366776219894E-2</v>
      </c>
    </row>
    <row r="71" spans="2:9">
      <c r="B71">
        <v>5.3</v>
      </c>
      <c r="C71" s="18">
        <v>3.5907325330102199E-2</v>
      </c>
      <c r="D71" s="18">
        <v>7.8245435538304695E-2</v>
      </c>
      <c r="G71">
        <v>5.3</v>
      </c>
      <c r="H71" s="18">
        <v>2.8918503710032701E-2</v>
      </c>
      <c r="I71" s="18">
        <v>7.4568438897922099E-2</v>
      </c>
    </row>
    <row r="72" spans="2:9">
      <c r="B72">
        <v>5.4</v>
      </c>
      <c r="C72" s="18">
        <v>3.7239906938064601E-2</v>
      </c>
      <c r="D72" s="18">
        <v>7.7651019768745999E-2</v>
      </c>
      <c r="G72">
        <v>5.4</v>
      </c>
      <c r="H72" s="18">
        <v>2.9991835202748701E-2</v>
      </c>
      <c r="I72" s="18">
        <v>7.3601800221905295E-2</v>
      </c>
    </row>
    <row r="73" spans="2:9">
      <c r="B73">
        <v>5.5</v>
      </c>
      <c r="C73" s="18">
        <v>3.8596566070371999E-2</v>
      </c>
      <c r="D73" s="18">
        <v>7.7189828577807595E-2</v>
      </c>
      <c r="G73">
        <v>5.5</v>
      </c>
      <c r="H73" s="18">
        <v>3.10845609011513E-2</v>
      </c>
      <c r="I73" s="18">
        <v>7.2771547403801401E-2</v>
      </c>
    </row>
    <row r="74" spans="2:9">
      <c r="B74">
        <v>5.6</v>
      </c>
      <c r="C74" s="18">
        <v>3.9977299847493798E-2</v>
      </c>
      <c r="D74" s="18">
        <v>7.6853439039309995E-2</v>
      </c>
      <c r="G74">
        <v>5.6</v>
      </c>
      <c r="H74" s="18">
        <v>3.2196678458112103E-2</v>
      </c>
      <c r="I74" s="18">
        <v>7.2068698340060203E-2</v>
      </c>
    </row>
    <row r="75" spans="2:9">
      <c r="B75">
        <v>5.7</v>
      </c>
      <c r="C75" s="18">
        <v>4.13821055068768E-2</v>
      </c>
      <c r="D75" s="18">
        <v>7.6634200348334E-2</v>
      </c>
      <c r="G75">
        <v>5.7</v>
      </c>
      <c r="H75" s="18">
        <v>3.3328185621937199E-2</v>
      </c>
      <c r="I75" s="18">
        <v>7.1485092541220194E-2</v>
      </c>
    </row>
    <row r="76" spans="2:9">
      <c r="B76">
        <v>5.8</v>
      </c>
      <c r="C76" s="18">
        <v>4.2810980396185902E-2</v>
      </c>
      <c r="D76" s="18">
        <v>7.6525151510258696E-2</v>
      </c>
      <c r="G76">
        <v>5.8</v>
      </c>
      <c r="H76" s="18">
        <v>3.4479080230854699E-2</v>
      </c>
      <c r="I76" s="18">
        <v>7.1013303736142896E-2</v>
      </c>
    </row>
    <row r="77" spans="2:9">
      <c r="B77">
        <v>5.9</v>
      </c>
      <c r="C77" s="18">
        <v>4.4263921967042999E-2</v>
      </c>
      <c r="D77" s="18">
        <v>7.6519948992220893E-2</v>
      </c>
      <c r="G77">
        <v>5.9</v>
      </c>
      <c r="H77" s="18">
        <v>3.56493602079073E-2</v>
      </c>
      <c r="I77" s="18">
        <v>7.0646563032205997E-2</v>
      </c>
    </row>
    <row r="78" spans="2:9">
      <c r="B78">
        <v>6</v>
      </c>
      <c r="C78" s="18">
        <v>4.5740927769218301E-2</v>
      </c>
      <c r="D78" s="18">
        <v>7.6612802991879794E-2</v>
      </c>
      <c r="G78">
        <v>6</v>
      </c>
      <c r="H78" s="18">
        <v>3.6839023556214601E-2</v>
      </c>
      <c r="I78" s="18">
        <v>7.0378691208898003E-2</v>
      </c>
    </row>
    <row r="79" spans="2:9">
      <c r="B79">
        <v>6.1</v>
      </c>
      <c r="C79" s="18">
        <v>4.7241995445236301E-2</v>
      </c>
      <c r="D79" s="18">
        <v>7.6798421178241205E-2</v>
      </c>
      <c r="G79">
        <v>6.1</v>
      </c>
      <c r="H79" s="18">
        <v>3.8048068354572799E-2</v>
      </c>
      <c r="I79" s="18">
        <v>7.0204038933282295E-2</v>
      </c>
    </row>
    <row r="80" spans="2:9">
      <c r="B80">
        <v>6.2</v>
      </c>
      <c r="C80" s="18">
        <v>4.8767122725359803E-2</v>
      </c>
      <c r="D80" s="18">
        <v>7.7071958926841905E-2</v>
      </c>
      <c r="G80">
        <v>6.2</v>
      </c>
      <c r="H80" s="18">
        <v>3.9276492753362299E-2</v>
      </c>
      <c r="I80" s="18">
        <v>7.0117433862731907E-2</v>
      </c>
    </row>
    <row r="81" spans="2:9">
      <c r="B81">
        <v>6.3</v>
      </c>
      <c r="C81" s="18">
        <v>5.0316307422920002E-2</v>
      </c>
      <c r="D81" s="18">
        <v>7.7428975212440895E-2</v>
      </c>
      <c r="G81">
        <v>6.3</v>
      </c>
      <c r="H81" s="18">
        <v>4.0524294970738499E-2</v>
      </c>
      <c r="I81" s="18">
        <v>7.0114133749131502E-2</v>
      </c>
    </row>
    <row r="82" spans="2:9">
      <c r="B82">
        <v>6.4</v>
      </c>
      <c r="C82" s="18">
        <v>5.1889547429965002E-2</v>
      </c>
      <c r="D82" s="18">
        <v>7.7865393441114705E-2</v>
      </c>
      <c r="G82">
        <v>6.4</v>
      </c>
      <c r="H82" s="18">
        <v>4.1791473289080797E-2</v>
      </c>
      <c r="I82" s="18">
        <v>7.0189784784217904E-2</v>
      </c>
    </row>
    <row r="83" spans="2:9">
      <c r="B83">
        <v>6.5</v>
      </c>
      <c r="C83" s="18">
        <v>5.3486840713198702E-2</v>
      </c>
      <c r="D83" s="18">
        <v>7.8377466604046694E-2</v>
      </c>
      <c r="G83">
        <v>6.5</v>
      </c>
      <c r="H83" s="18">
        <v>4.3078026051679701E-2</v>
      </c>
      <c r="I83" s="18">
        <v>7.034038453185E-2</v>
      </c>
    </row>
    <row r="84" spans="2:9">
      <c r="B84">
        <v>6.6</v>
      </c>
      <c r="C84" s="18">
        <v>5.5108185310189003E-2</v>
      </c>
      <c r="D84" s="18">
        <v>7.8961746220400406E-2</v>
      </c>
      <c r="G84">
        <v>6.6</v>
      </c>
      <c r="H84" s="18">
        <v>4.43839516596422E-2</v>
      </c>
      <c r="I84" s="18">
        <v>7.0562248882964598E-2</v>
      </c>
    </row>
    <row r="85" spans="2:9">
      <c r="B85">
        <v>6.7</v>
      </c>
      <c r="C85" s="18">
        <v>5.6753579325821403E-2</v>
      </c>
      <c r="D85" s="18">
        <v>7.9615054608988794E-2</v>
      </c>
      <c r="G85">
        <v>6.7</v>
      </c>
      <c r="H85" s="18">
        <v>4.5709248568998599E-2</v>
      </c>
      <c r="I85" s="18">
        <v>7.0851982545470302E-2</v>
      </c>
    </row>
    <row r="86" spans="2:9">
      <c r="B86">
        <v>6.8</v>
      </c>
      <c r="C86" s="18">
        <v>5.8423020928980503E-2</v>
      </c>
      <c r="D86" s="18">
        <v>8.0334460090073403E-2</v>
      </c>
      <c r="G86">
        <v>6.8</v>
      </c>
      <c r="H86" s="18">
        <v>4.7053915287994297E-2</v>
      </c>
      <c r="I86" s="18">
        <v>7.1206452646506796E-2</v>
      </c>
    </row>
    <row r="87" spans="2:9">
      <c r="B87">
        <v>6.9</v>
      </c>
      <c r="C87" s="18">
        <v>6.0116508349441197E-2</v>
      </c>
      <c r="D87" s="18">
        <v>8.1117254771249703E-2</v>
      </c>
      <c r="G87">
        <v>6.9</v>
      </c>
      <c r="H87" s="18">
        <v>4.84179503745528E-2</v>
      </c>
      <c r="I87" s="18">
        <v>7.1622765080188402E-2</v>
      </c>
    </row>
    <row r="88" spans="2:9">
      <c r="B88">
        <v>7</v>
      </c>
      <c r="C88" s="18">
        <v>6.1834039874953499E-2</v>
      </c>
      <c r="D88" s="18">
        <v>8.1960934616431197E-2</v>
      </c>
      <c r="G88">
        <v>7</v>
      </c>
      <c r="H88" s="18">
        <v>4.9801352433896703E-2</v>
      </c>
      <c r="I88" s="18">
        <v>7.2098243281629795E-2</v>
      </c>
    </row>
    <row r="89" spans="2:9">
      <c r="B89">
        <v>7.1</v>
      </c>
      <c r="C89" s="18">
        <v>6.3575613848506199E-2</v>
      </c>
      <c r="D89" s="18">
        <v>8.2863181535595395E-2</v>
      </c>
      <c r="G89">
        <v>7.1</v>
      </c>
      <c r="H89" s="18">
        <v>5.1204120116315102E-2</v>
      </c>
      <c r="I89" s="18">
        <v>7.2630409148979599E-2</v>
      </c>
    </row>
    <row r="90" spans="2:9">
      <c r="B90">
        <v>7.2</v>
      </c>
      <c r="C90" s="18">
        <v>6.5341228665756604E-2</v>
      </c>
      <c r="D90" s="18">
        <v>8.3821847266200594E-2</v>
      </c>
      <c r="G90">
        <v>7.2</v>
      </c>
      <c r="H90" s="18">
        <v>5.2626252115065102E-2</v>
      </c>
      <c r="I90" s="18">
        <v>7.3216965870382997E-2</v>
      </c>
    </row>
    <row r="91" spans="2:9">
      <c r="B91">
        <v>7.3</v>
      </c>
      <c r="C91" s="18">
        <v>6.7130882772613795E-2</v>
      </c>
      <c r="D91" s="18">
        <v>8.4834938845824007E-2</v>
      </c>
      <c r="G91">
        <v>7.3</v>
      </c>
      <c r="H91" s="18">
        <v>5.4067747164400499E-2</v>
      </c>
      <c r="I91" s="18">
        <v>7.3855782443142795E-2</v>
      </c>
    </row>
    <row r="92" spans="2:9">
      <c r="B92">
        <v>7.4</v>
      </c>
      <c r="C92" s="18">
        <v>6.8944574662964594E-2</v>
      </c>
      <c r="D92" s="18">
        <v>8.5900605500313101E-2</v>
      </c>
      <c r="G92">
        <v>7.4</v>
      </c>
      <c r="H92" s="18">
        <v>5.5528604037715E-2</v>
      </c>
      <c r="I92" s="18">
        <v>7.4544879698553002E-2</v>
      </c>
    </row>
    <row r="93" spans="2:9">
      <c r="B93">
        <v>7.5</v>
      </c>
      <c r="C93" s="18">
        <v>7.0782302876531505E-2</v>
      </c>
      <c r="D93" s="18">
        <v>8.7017126793147007E-2</v>
      </c>
      <c r="G93">
        <v>7.5</v>
      </c>
      <c r="H93" s="18">
        <v>5.7008821545794203E-2</v>
      </c>
      <c r="I93" s="18">
        <v>7.5282417668568496E-2</v>
      </c>
    </row>
    <row r="94" spans="2:9">
      <c r="B94">
        <v>7.6</v>
      </c>
      <c r="C94" s="18">
        <v>7.2644065996854107E-2</v>
      </c>
      <c r="D94" s="18">
        <v>8.81829019002663E-2</v>
      </c>
      <c r="G94">
        <v>7.6</v>
      </c>
      <c r="H94" s="18">
        <v>5.8508398535168399E-2</v>
      </c>
      <c r="I94" s="18">
        <v>7.6066684150145294E-2</v>
      </c>
    </row>
    <row r="95" spans="2:9">
      <c r="B95">
        <v>7.7</v>
      </c>
      <c r="C95" s="18">
        <v>7.4529862649384701E-2</v>
      </c>
      <c r="D95" s="18">
        <v>8.93964398907518E-2</v>
      </c>
      <c r="G95">
        <v>7.7</v>
      </c>
      <c r="H95" s="18">
        <v>6.0027333886557802E-2</v>
      </c>
      <c r="I95" s="18">
        <v>7.6896084340183093E-2</v>
      </c>
    </row>
    <row r="96" spans="2:9">
      <c r="B96">
        <v>7.8</v>
      </c>
      <c r="C96" s="18">
        <v>7.6439691499690404E-2</v>
      </c>
      <c r="D96" s="18">
        <v>9.0656350907768093E-2</v>
      </c>
      <c r="G96">
        <v>7.8</v>
      </c>
      <c r="H96" s="18">
        <v>6.1565626513405601E-2</v>
      </c>
      <c r="I96" s="18">
        <v>7.7769131428884197E-2</v>
      </c>
    </row>
    <row r="97" spans="2:9">
      <c r="B97">
        <v>7.9</v>
      </c>
      <c r="C97" s="18">
        <v>7.8373551251755103E-2</v>
      </c>
      <c r="D97" s="18">
        <v>9.1961338156420006E-2</v>
      </c>
      <c r="G97">
        <v>7.9</v>
      </c>
      <c r="H97" s="18">
        <v>6.3123275360491699E-2</v>
      </c>
      <c r="I97" s="18">
        <v>7.8684438052318603E-2</v>
      </c>
    </row>
    <row r="98" spans="2:9">
      <c r="B98">
        <v>8</v>
      </c>
      <c r="C98" s="18">
        <v>8.0331440646373695E-2</v>
      </c>
      <c r="D98" s="18">
        <v>9.3313894586738902E-2</v>
      </c>
      <c r="G98">
        <v>8</v>
      </c>
      <c r="H98" s="18">
        <v>6.4700279402621796E-2</v>
      </c>
      <c r="I98" s="18">
        <v>7.9640708516327499E-2</v>
      </c>
    </row>
    <row r="99" spans="2:9">
      <c r="B99">
        <v>8.1</v>
      </c>
      <c r="C99" s="18">
        <v>8.2313358459632793E-2</v>
      </c>
      <c r="D99" s="18">
        <v>9.4767117236375195E-2</v>
      </c>
      <c r="G99">
        <v>8.1</v>
      </c>
      <c r="H99" s="18">
        <v>6.6296637643388404E-2</v>
      </c>
      <c r="I99" s="18">
        <v>8.0636731713819507E-2</v>
      </c>
    </row>
    <row r="100" spans="2:9">
      <c r="B100">
        <v>8.1999999999999993</v>
      </c>
      <c r="C100" s="18">
        <v>8.4319303501473E-2</v>
      </c>
      <c r="D100" s="18">
        <v>9.6260765817689803E-2</v>
      </c>
      <c r="G100">
        <v>8.1999999999999993</v>
      </c>
      <c r="H100" s="18">
        <v>6.7912349113996004E-2</v>
      </c>
      <c r="I100" s="18">
        <v>8.1671374666213103E-2</v>
      </c>
    </row>
    <row r="101" spans="2:9">
      <c r="B101">
        <v>8.3000000000000007</v>
      </c>
      <c r="C101" s="18">
        <v>8.6349274614325899E-2</v>
      </c>
      <c r="D101" s="18">
        <v>9.7793925694597203E-2</v>
      </c>
      <c r="G101">
        <v>8.3000000000000007</v>
      </c>
      <c r="H101" s="18">
        <v>6.9547412872149605E-2</v>
      </c>
      <c r="I101" s="18">
        <v>8.2743576627417895E-2</v>
      </c>
    </row>
    <row r="102" spans="2:9">
      <c r="B102">
        <v>8.4</v>
      </c>
      <c r="C102" s="18">
        <v>8.8403270671822895E-2</v>
      </c>
      <c r="D102" s="18">
        <v>9.9370731146371793E-2</v>
      </c>
      <c r="G102">
        <v>8.4</v>
      </c>
      <c r="H102" s="18">
        <v>7.1201828001000597E-2</v>
      </c>
      <c r="I102" s="18">
        <v>8.3852343695465001E-2</v>
      </c>
    </row>
    <row r="103" spans="2:9">
      <c r="B103">
        <v>8.5</v>
      </c>
      <c r="C103" s="18">
        <v>9.0481290577569706E-2</v>
      </c>
      <c r="D103" s="18">
        <v>0.101042508611156</v>
      </c>
      <c r="G103">
        <v>8.5</v>
      </c>
      <c r="H103" s="18">
        <v>7.2875593608145897E-2</v>
      </c>
      <c r="I103" s="18">
        <v>8.5001975868258695E-2</v>
      </c>
    </row>
    <row r="104" spans="2:9">
      <c r="B104">
        <v>8.6</v>
      </c>
      <c r="C104" s="18">
        <v>9.25833332639832E-2</v>
      </c>
      <c r="D104" s="18">
        <v>0.102750211654492</v>
      </c>
      <c r="G104">
        <v>8.6</v>
      </c>
      <c r="H104" s="18">
        <v>7.45687088246796E-2</v>
      </c>
      <c r="I104" s="18">
        <v>8.6235091921927007E-2</v>
      </c>
    </row>
    <row r="105" spans="2:9">
      <c r="B105">
        <v>8.6999999999999993</v>
      </c>
      <c r="C105" s="18">
        <v>9.4709397691187094E-2</v>
      </c>
      <c r="D105" s="18">
        <v>0.10449320179324501</v>
      </c>
      <c r="G105">
        <v>8.6999999999999993</v>
      </c>
      <c r="H105" s="18">
        <v>7.6281172804290795E-2</v>
      </c>
      <c r="I105" s="18">
        <v>8.7501113813921699E-2</v>
      </c>
    </row>
    <row r="106" spans="2:9">
      <c r="B106">
        <v>8.8000000000000007</v>
      </c>
      <c r="C106" s="18">
        <v>9.68594828459617E-2</v>
      </c>
      <c r="D106" s="18">
        <v>0.106313701785645</v>
      </c>
      <c r="G106">
        <v>8.8000000000000007</v>
      </c>
      <c r="H106" s="18">
        <v>7.8012984722406697E-2</v>
      </c>
      <c r="I106" s="18">
        <v>8.8799329311084099E-2</v>
      </c>
    </row>
    <row r="107" spans="2:9">
      <c r="B107">
        <v>8.9</v>
      </c>
      <c r="C107" s="18">
        <v>9.9033587740745804E-2</v>
      </c>
      <c r="D107" s="18">
        <v>0.108187356973263</v>
      </c>
      <c r="G107">
        <v>8.9</v>
      </c>
      <c r="H107" s="18">
        <v>7.9764143775378105E-2</v>
      </c>
      <c r="I107" s="18">
        <v>9.0129068625276906E-2</v>
      </c>
    </row>
    <row r="108" spans="2:9">
      <c r="B108">
        <v>9</v>
      </c>
      <c r="C108" s="18">
        <v>0.101231711412686</v>
      </c>
      <c r="D108" s="18">
        <v>0.110093532776884</v>
      </c>
      <c r="G108">
        <v>9</v>
      </c>
      <c r="H108" s="18">
        <v>8.1534649179703697E-2</v>
      </c>
      <c r="I108" s="18">
        <v>9.1539287768421906E-2</v>
      </c>
    </row>
    <row r="109" spans="2:9">
      <c r="B109">
        <v>9.1</v>
      </c>
      <c r="C109" s="18">
        <v>0.103453852922736</v>
      </c>
      <c r="D109" s="18">
        <v>0.11207859034348799</v>
      </c>
      <c r="G109">
        <v>9.1</v>
      </c>
      <c r="H109" s="18">
        <v>8.3324500171292407E-2</v>
      </c>
      <c r="I109" s="18">
        <v>9.2983864333401306E-2</v>
      </c>
    </row>
    <row r="110" spans="2:9">
      <c r="B110">
        <v>9.1999999999999993</v>
      </c>
      <c r="C110" s="18">
        <v>0.105700011354788</v>
      </c>
      <c r="D110" s="18">
        <v>0.114110695561618</v>
      </c>
      <c r="G110">
        <v>9.1999999999999993</v>
      </c>
      <c r="H110" s="18">
        <v>8.5133696004759896E-2</v>
      </c>
      <c r="I110" s="18">
        <v>9.4457254857377604E-2</v>
      </c>
    </row>
    <row r="111" spans="2:9">
      <c r="B111">
        <v>9.3000000000000007</v>
      </c>
      <c r="C111" s="18">
        <v>0.107970185814858</v>
      </c>
      <c r="D111" s="18">
        <v>0.116179426899817</v>
      </c>
      <c r="G111">
        <v>9.3000000000000007</v>
      </c>
      <c r="H111" s="18">
        <v>8.6962235952759107E-2</v>
      </c>
      <c r="I111" s="18">
        <v>9.5977374578036595E-2</v>
      </c>
    </row>
    <row r="112" spans="2:9">
      <c r="B112">
        <v>9.4</v>
      </c>
      <c r="C112" s="18">
        <v>0.110264375430303</v>
      </c>
      <c r="D112" s="18">
        <v>0.118315931681994</v>
      </c>
      <c r="G112">
        <v>9.4</v>
      </c>
      <c r="H112" s="18">
        <v>8.8810119305340607E-2</v>
      </c>
      <c r="I112" s="18">
        <v>9.7561603267736302E-2</v>
      </c>
    </row>
    <row r="113" spans="2:9">
      <c r="B113">
        <v>9.5</v>
      </c>
      <c r="C113" s="18">
        <v>0.112582579349069</v>
      </c>
      <c r="D113" s="18">
        <v>0.12048138658662901</v>
      </c>
      <c r="G113">
        <v>9.5</v>
      </c>
      <c r="H113" s="18">
        <v>9.0677345369343396E-2</v>
      </c>
      <c r="I113" s="18">
        <v>9.9172387832575301E-2</v>
      </c>
    </row>
    <row r="114" spans="2:9">
      <c r="B114">
        <v>9.6</v>
      </c>
      <c r="C114" s="18">
        <v>0.114924796738983</v>
      </c>
      <c r="D114" s="18">
        <v>0.12271149414223601</v>
      </c>
      <c r="G114">
        <v>9.6</v>
      </c>
      <c r="H114" s="18">
        <v>9.2563913467813397E-2</v>
      </c>
      <c r="I114" s="18">
        <v>0.100822570907998</v>
      </c>
    </row>
    <row r="115" spans="2:9">
      <c r="B115">
        <v>9.6999999999999993</v>
      </c>
      <c r="C115" s="18">
        <v>0.117291026787068</v>
      </c>
      <c r="D115" s="18">
        <v>0.124978073066528</v>
      </c>
      <c r="G115">
        <v>9.6999999999999993</v>
      </c>
      <c r="H115" s="18">
        <v>9.4469822939447196E-2</v>
      </c>
      <c r="I115" s="18">
        <v>0.10254047067575001</v>
      </c>
    </row>
    <row r="116" spans="2:9">
      <c r="B116">
        <v>9.8000000000000007</v>
      </c>
      <c r="C116" s="18">
        <v>0.119681268698898</v>
      </c>
      <c r="D116" s="18">
        <v>0.127302776857388</v>
      </c>
      <c r="G116">
        <v>9.8000000000000007</v>
      </c>
      <c r="H116" s="18">
        <v>9.6395073138061393E-2</v>
      </c>
      <c r="I116" s="18">
        <v>0.104283056025511</v>
      </c>
    </row>
    <row r="117" spans="2:9">
      <c r="G117">
        <v>9.9</v>
      </c>
      <c r="H117">
        <v>9.8339663432085098E-2</v>
      </c>
      <c r="I117">
        <v>0.10606957252674</v>
      </c>
    </row>
    <row r="118" spans="2:9">
      <c r="G118">
        <v>10</v>
      </c>
      <c r="H118">
        <v>0.100303593204074</v>
      </c>
      <c r="I118">
        <v>0.107899360964198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147"/>
  <sheetViews>
    <sheetView tabSelected="1" workbookViewId="0">
      <selection activeCell="N7" sqref="N7"/>
    </sheetView>
  </sheetViews>
  <sheetFormatPr defaultRowHeight="12.5"/>
  <cols>
    <col min="2" max="2" width="9.1796875" bestFit="1" customWidth="1"/>
    <col min="4" max="4" width="11.1796875" bestFit="1" customWidth="1"/>
    <col min="9" max="9" width="9.1796875" bestFit="1" customWidth="1"/>
  </cols>
  <sheetData>
    <row r="1" spans="1:15">
      <c r="A1" t="s">
        <v>5</v>
      </c>
      <c r="B1" t="s">
        <v>61</v>
      </c>
      <c r="C1" t="s">
        <v>62</v>
      </c>
      <c r="D1" t="s">
        <v>4</v>
      </c>
      <c r="E1" t="s">
        <v>63</v>
      </c>
      <c r="F1" t="s">
        <v>64</v>
      </c>
      <c r="G1" t="s">
        <v>65</v>
      </c>
      <c r="H1" t="s">
        <v>66</v>
      </c>
      <c r="I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66</v>
      </c>
    </row>
    <row r="2" spans="1:15">
      <c r="A2" t="s">
        <v>75</v>
      </c>
    </row>
    <row r="3" spans="1:15" ht="14.5">
      <c r="A3" s="19">
        <f>'Test Pipeline'!B1</f>
        <v>5.4970629948544047</v>
      </c>
      <c r="B3" t="s">
        <v>72</v>
      </c>
      <c r="C3">
        <v>0.6</v>
      </c>
      <c r="D3" t="s">
        <v>73</v>
      </c>
      <c r="L3" s="3">
        <f>A3*PI()*(C3/2)^2</f>
        <v>1.5542579448859415</v>
      </c>
    </row>
    <row r="4" spans="1:15" ht="14.5">
      <c r="A4" s="19">
        <f>'Test Pipeline'!C13</f>
        <v>7.9157707125903425</v>
      </c>
      <c r="B4" t="s">
        <v>72</v>
      </c>
      <c r="C4">
        <f>'Test Pipeline'!B13</f>
        <v>0.5</v>
      </c>
      <c r="D4" t="s">
        <v>73</v>
      </c>
      <c r="L4" s="3"/>
    </row>
    <row r="5" spans="1:15">
      <c r="A5" s="9">
        <f>A3*(C3^2/D33^2)/0.3048</f>
        <v>18.034983578918649</v>
      </c>
      <c r="B5" s="15">
        <f>B67</f>
        <v>1608.5039990450855</v>
      </c>
      <c r="C5" s="15">
        <f t="shared" ref="C5:I5" si="0">C67</f>
        <v>1651.5771661118906</v>
      </c>
      <c r="D5" s="15">
        <f t="shared" si="0"/>
        <v>1688.0670980374809</v>
      </c>
      <c r="E5" s="16">
        <f t="shared" si="0"/>
        <v>24613.498351064038</v>
      </c>
      <c r="F5" s="9">
        <f t="shared" si="0"/>
        <v>61.146056333720907</v>
      </c>
      <c r="G5" s="15">
        <f t="shared" si="0"/>
        <v>2152.4426463680775</v>
      </c>
      <c r="H5" s="9">
        <f t="shared" si="0"/>
        <v>69.279935088751472</v>
      </c>
      <c r="I5" s="16">
        <f t="shared" si="0"/>
        <v>548.5789501752198</v>
      </c>
      <c r="K5" s="3">
        <f t="shared" ref="K5:O5" si="1">K67</f>
        <v>5.4970629948544047</v>
      </c>
      <c r="L5" s="3">
        <f t="shared" si="1"/>
        <v>1.5528705336683002</v>
      </c>
      <c r="M5" s="9">
        <f t="shared" si="1"/>
        <v>18.637317970518133</v>
      </c>
      <c r="N5" s="16">
        <f t="shared" si="1"/>
        <v>409.0753231456614</v>
      </c>
      <c r="O5" s="17">
        <f t="shared" si="1"/>
        <v>0.69403982104189055</v>
      </c>
    </row>
    <row r="6" spans="1:15">
      <c r="A6" t="s">
        <v>78</v>
      </c>
      <c r="C6">
        <v>1.0248103</v>
      </c>
      <c r="D6" t="s">
        <v>53</v>
      </c>
      <c r="F6" s="9">
        <f>F5*C6</f>
        <v>62.663108335177419</v>
      </c>
      <c r="G6" s="9"/>
      <c r="H6" s="9"/>
      <c r="I6" s="9">
        <f>I5*C6</f>
        <v>562.18935850275204</v>
      </c>
      <c r="J6" s="9"/>
      <c r="K6" s="9"/>
      <c r="L6" s="9"/>
      <c r="M6" s="9">
        <f>M5*C6</f>
        <v>19.099715420562077</v>
      </c>
      <c r="N6" s="24">
        <f>N5*C6</f>
        <v>419.2246046355022</v>
      </c>
      <c r="O6" s="17"/>
    </row>
    <row r="7" spans="1:15">
      <c r="A7" t="s">
        <v>79</v>
      </c>
      <c r="C7">
        <v>1.3092184974999901</v>
      </c>
      <c r="D7" t="s">
        <v>53</v>
      </c>
      <c r="F7" s="9">
        <f>F5*C7</f>
        <v>80.053548001283843</v>
      </c>
      <c r="G7" s="9"/>
      <c r="H7" s="9"/>
      <c r="I7" s="9">
        <f>I5*C7</f>
        <v>718.20970890852323</v>
      </c>
      <c r="J7" s="9"/>
      <c r="K7" s="9"/>
      <c r="L7" s="9"/>
      <c r="M7" s="9">
        <f>M5*C7</f>
        <v>24.400321430791315</v>
      </c>
      <c r="N7" s="24">
        <f>N5*C7</f>
        <v>535.56897993308576</v>
      </c>
      <c r="O7" s="17"/>
    </row>
    <row r="8" spans="1:15">
      <c r="E8" s="16"/>
      <c r="I8" s="16"/>
      <c r="N8" s="16"/>
    </row>
    <row r="9" spans="1:15">
      <c r="A9" t="s">
        <v>76</v>
      </c>
      <c r="E9" s="16"/>
      <c r="I9" s="16"/>
      <c r="N9" s="16"/>
    </row>
    <row r="10" spans="1:15">
      <c r="A10" s="2">
        <f>'Test Pipeline'!C13</f>
        <v>7.9157707125903425</v>
      </c>
      <c r="B10" t="s">
        <v>72</v>
      </c>
      <c r="C10">
        <v>0.5</v>
      </c>
      <c r="D10" t="s">
        <v>73</v>
      </c>
      <c r="E10" s="16"/>
      <c r="I10" s="16"/>
      <c r="L10" s="3">
        <f>A10*PI()*(C10/2)^2</f>
        <v>1.5542579448859413</v>
      </c>
      <c r="N10" s="16"/>
    </row>
    <row r="11" spans="1:15">
      <c r="A11" s="9">
        <f>A10*(C10^2/D93^2)/0.3048</f>
        <v>25.970376353642845</v>
      </c>
      <c r="B11" s="15">
        <f>B127</f>
        <v>1608.5039990450855</v>
      </c>
      <c r="C11" s="15">
        <f t="shared" ref="C11:O11" si="2">C127</f>
        <v>1651.5771661118906</v>
      </c>
      <c r="D11" s="15">
        <f t="shared" si="2"/>
        <v>1642.9249142120084</v>
      </c>
      <c r="E11" s="16">
        <f t="shared" si="2"/>
        <v>17092.707188238914</v>
      </c>
      <c r="F11" s="9">
        <f t="shared" si="2"/>
        <v>235.26951135841946</v>
      </c>
      <c r="G11" s="15">
        <f t="shared" si="2"/>
        <v>979.36302223598102</v>
      </c>
      <c r="H11" s="9">
        <f t="shared" si="2"/>
        <v>70.704697723011066</v>
      </c>
      <c r="I11" s="16">
        <f t="shared" si="2"/>
        <v>1436.2599405566118</v>
      </c>
      <c r="K11" s="3">
        <f t="shared" si="2"/>
        <v>1.0783823150474305</v>
      </c>
      <c r="L11" s="3">
        <f t="shared" si="2"/>
        <v>490.27201890894207</v>
      </c>
      <c r="M11" s="9">
        <f t="shared" si="2"/>
        <v>71.710147062046261</v>
      </c>
      <c r="N11" s="16">
        <f t="shared" si="2"/>
        <v>1071.0190376730654</v>
      </c>
      <c r="O11" s="17">
        <f t="shared" si="2"/>
        <v>0.70831295802508687</v>
      </c>
    </row>
    <row r="12" spans="1:15">
      <c r="A12" t="s">
        <v>78</v>
      </c>
      <c r="C12">
        <v>1.0248103</v>
      </c>
      <c r="D12" t="s">
        <v>53</v>
      </c>
      <c r="F12" s="9">
        <f>F11*C12</f>
        <v>241.10661851607526</v>
      </c>
      <c r="G12" s="9"/>
      <c r="H12" s="9"/>
      <c r="I12" s="9">
        <f>I11*C12</f>
        <v>1471.8939805598034</v>
      </c>
      <c r="J12" s="9"/>
      <c r="K12" s="9"/>
      <c r="L12" s="9"/>
      <c r="M12" s="9">
        <f>M11*C12</f>
        <v>73.489297323699745</v>
      </c>
      <c r="N12" s="24">
        <f>N11*C12</f>
        <v>1097.5913413034455</v>
      </c>
      <c r="O12" s="17"/>
    </row>
    <row r="13" spans="1:15">
      <c r="A13" t="s">
        <v>79</v>
      </c>
      <c r="C13">
        <v>1.3092184974999901</v>
      </c>
      <c r="D13" t="s">
        <v>53</v>
      </c>
      <c r="F13" s="9">
        <f>F11*C13</f>
        <v>308.01919616822676</v>
      </c>
      <c r="G13" s="9"/>
      <c r="H13" s="9"/>
      <c r="I13" s="9">
        <f>I11*C13</f>
        <v>1880.3780813949525</v>
      </c>
      <c r="J13" s="9"/>
      <c r="K13" s="9"/>
      <c r="L13" s="9"/>
      <c r="M13" s="9">
        <f>M11*C13</f>
        <v>93.884250992075536</v>
      </c>
      <c r="N13" s="24">
        <f>N11*C13</f>
        <v>1402.197935296216</v>
      </c>
      <c r="O13" s="17"/>
    </row>
    <row r="14" spans="1:15">
      <c r="E14" s="15"/>
    </row>
    <row r="17" spans="1:14">
      <c r="A17" t="s">
        <v>77</v>
      </c>
      <c r="F17" s="9">
        <f>F11+F5</f>
        <v>296.41556769214037</v>
      </c>
      <c r="I17" s="9">
        <f>I11+I5</f>
        <v>1984.8388907318317</v>
      </c>
      <c r="M17" s="9">
        <f>M11+M5</f>
        <v>90.347465032564401</v>
      </c>
      <c r="N17" s="9">
        <f>N11+N5</f>
        <v>1480.0943608187267</v>
      </c>
    </row>
    <row r="18" spans="1:14">
      <c r="A18" t="s">
        <v>78</v>
      </c>
      <c r="C18">
        <v>1.0248103</v>
      </c>
      <c r="D18" t="s">
        <v>53</v>
      </c>
      <c r="F18" s="9">
        <f>F17*C18</f>
        <v>303.76972685125264</v>
      </c>
      <c r="G18" s="9"/>
      <c r="H18" s="9"/>
      <c r="I18" s="9">
        <f>I17*C18</f>
        <v>2034.0833390625555</v>
      </c>
      <c r="J18" s="9"/>
      <c r="K18" s="9"/>
      <c r="L18" s="9"/>
      <c r="M18" s="9">
        <f>M17*C18</f>
        <v>92.589012744261822</v>
      </c>
      <c r="N18" s="9">
        <f>N17*C18</f>
        <v>1516.8159459389476</v>
      </c>
    </row>
    <row r="19" spans="1:14">
      <c r="A19" t="s">
        <v>79</v>
      </c>
      <c r="C19">
        <v>1.3092184974999901</v>
      </c>
      <c r="D19" t="s">
        <v>53</v>
      </c>
      <c r="F19" s="9">
        <f>F17*C19</f>
        <v>388.0727441695106</v>
      </c>
      <c r="G19" s="9"/>
      <c r="H19" s="9"/>
      <c r="I19" s="9">
        <f>I17*C19</f>
        <v>2598.5877903034757</v>
      </c>
      <c r="J19" s="9"/>
      <c r="K19" s="9"/>
      <c r="L19" s="9"/>
      <c r="M19" s="9">
        <f>M17*C19</f>
        <v>118.28457242286686</v>
      </c>
      <c r="N19" s="9">
        <f>N17*C19</f>
        <v>1937.7669152293015</v>
      </c>
    </row>
    <row r="28" spans="1:14" ht="15.5">
      <c r="A28" s="13" t="s">
        <v>74</v>
      </c>
    </row>
    <row r="29" spans="1:14">
      <c r="A29" t="str">
        <f>TEXT(D32,"0.000x")&amp;TEXT(D32,"0.000x")&amp;TEXT(D31,"0.000") &amp; "m Pump at "&amp;TEXT(B34,"0") &amp; " RPM"</f>
        <v>0.600x0.600x1.118m Pump at 300 RPM</v>
      </c>
    </row>
    <row r="31" spans="1:14" ht="14.5">
      <c r="A31" t="s">
        <v>40</v>
      </c>
      <c r="B31">
        <v>44</v>
      </c>
      <c r="C31" t="s">
        <v>41</v>
      </c>
      <c r="D31" s="10">
        <f>B31*0.3048/12</f>
        <v>1.1176000000000001</v>
      </c>
      <c r="E31" t="s">
        <v>2</v>
      </c>
    </row>
    <row r="32" spans="1:14" ht="14.5">
      <c r="A32" t="s">
        <v>42</v>
      </c>
      <c r="B32" s="9">
        <f>600/25.4</f>
        <v>23.622047244094489</v>
      </c>
      <c r="C32" t="s">
        <v>41</v>
      </c>
      <c r="D32" s="21">
        <f t="shared" ref="D32:D33" si="3">B32*0.3048/12</f>
        <v>0.6</v>
      </c>
      <c r="E32" t="s">
        <v>2</v>
      </c>
    </row>
    <row r="33" spans="1:27" ht="14.5">
      <c r="A33" t="s">
        <v>43</v>
      </c>
      <c r="B33" s="9">
        <f>600/25.4</f>
        <v>23.622047244094489</v>
      </c>
      <c r="C33" t="s">
        <v>41</v>
      </c>
      <c r="D33" s="10">
        <f t="shared" si="3"/>
        <v>0.6</v>
      </c>
      <c r="E33" t="s">
        <v>2</v>
      </c>
    </row>
    <row r="34" spans="1:27" ht="14.5">
      <c r="A34" t="s">
        <v>44</v>
      </c>
      <c r="B34">
        <v>300</v>
      </c>
      <c r="C34" t="s">
        <v>45</v>
      </c>
      <c r="D34" s="20">
        <f>B34/60</f>
        <v>5</v>
      </c>
      <c r="E34" t="s">
        <v>46</v>
      </c>
    </row>
    <row r="35" spans="1:27">
      <c r="A35" t="s">
        <v>47</v>
      </c>
      <c r="B35">
        <f>B31*B34/229</f>
        <v>57.64192139737991</v>
      </c>
    </row>
    <row r="36" spans="1:27">
      <c r="A36" t="s">
        <v>48</v>
      </c>
      <c r="B36">
        <f>B31/B32</f>
        <v>1.8626666666666667</v>
      </c>
    </row>
    <row r="37" spans="1:27">
      <c r="U37" s="11"/>
      <c r="V37" s="11"/>
      <c r="W37" s="11"/>
      <c r="X37" s="11"/>
      <c r="Y37" s="11"/>
      <c r="Z37" s="11"/>
      <c r="AA37" s="11"/>
    </row>
    <row r="38" spans="1:27">
      <c r="A38" t="s">
        <v>49</v>
      </c>
      <c r="B38">
        <v>2000</v>
      </c>
      <c r="C38" t="s">
        <v>50</v>
      </c>
      <c r="D38">
        <f>B38*0.7457</f>
        <v>1491.4</v>
      </c>
      <c r="E38" t="s">
        <v>51</v>
      </c>
      <c r="U38" s="11"/>
      <c r="V38" s="11"/>
      <c r="W38" s="11"/>
      <c r="X38" s="11"/>
      <c r="Y38" s="11"/>
      <c r="Z38" s="11"/>
      <c r="AA38" s="11"/>
    </row>
    <row r="39" spans="1:27">
      <c r="A39" t="s">
        <v>52</v>
      </c>
      <c r="B39">
        <v>1.25</v>
      </c>
      <c r="C39" t="s">
        <v>53</v>
      </c>
      <c r="U39" s="11"/>
      <c r="V39" s="11"/>
      <c r="W39" s="11"/>
      <c r="X39" s="11"/>
      <c r="Y39" s="11"/>
      <c r="Z39" s="11"/>
      <c r="AA39" s="11"/>
    </row>
    <row r="40" spans="1:27">
      <c r="A40" t="s">
        <v>54</v>
      </c>
      <c r="B40">
        <v>18</v>
      </c>
      <c r="C40" t="s">
        <v>55</v>
      </c>
      <c r="D40">
        <f>B40*0.3048</f>
        <v>5.4864000000000006</v>
      </c>
      <c r="E40" t="s">
        <v>3</v>
      </c>
      <c r="U40" s="11"/>
      <c r="V40" s="11"/>
      <c r="W40" s="11"/>
      <c r="X40" s="11"/>
      <c r="Y40" s="11"/>
      <c r="Z40" s="11"/>
      <c r="AA40" s="11"/>
    </row>
    <row r="41" spans="1:27">
      <c r="A41" t="s">
        <v>56</v>
      </c>
      <c r="B41" s="15">
        <f>350/0.7457</f>
        <v>469.35765052970362</v>
      </c>
      <c r="C41" t="s">
        <v>50</v>
      </c>
      <c r="D41">
        <f>B41*0.7457</f>
        <v>350</v>
      </c>
      <c r="E41" t="s">
        <v>51</v>
      </c>
      <c r="U41" s="11"/>
      <c r="V41" s="11"/>
      <c r="W41" s="11"/>
      <c r="X41" s="11"/>
      <c r="Y41" s="11"/>
      <c r="Z41" s="11"/>
      <c r="AA41" s="11"/>
    </row>
    <row r="42" spans="1:27">
      <c r="U42" s="11"/>
      <c r="V42" s="11"/>
      <c r="W42" s="11"/>
      <c r="X42" s="11"/>
      <c r="Y42" s="11"/>
      <c r="Z42" s="11"/>
      <c r="AA42" s="11"/>
    </row>
    <row r="43" spans="1:27">
      <c r="A43" t="s">
        <v>57</v>
      </c>
      <c r="B43">
        <v>32.14</v>
      </c>
      <c r="C43" t="s">
        <v>58</v>
      </c>
      <c r="D43">
        <v>9.81</v>
      </c>
      <c r="E43" t="s">
        <v>59</v>
      </c>
      <c r="U43" s="11"/>
      <c r="V43" s="11"/>
      <c r="W43" s="11"/>
      <c r="X43" s="11"/>
      <c r="Y43" s="11"/>
      <c r="Z43" s="11"/>
      <c r="AA43" s="11"/>
    </row>
    <row r="44" spans="1:27">
      <c r="A44" t="s">
        <v>13</v>
      </c>
      <c r="B44">
        <v>0.99819999999999998</v>
      </c>
      <c r="C44" t="s">
        <v>60</v>
      </c>
      <c r="U44" s="11"/>
      <c r="V44" s="11"/>
      <c r="W44" s="11"/>
      <c r="X44" s="11"/>
      <c r="Y44" s="11"/>
      <c r="Z44" s="11"/>
      <c r="AA44" s="11"/>
    </row>
    <row r="46" spans="1:27">
      <c r="A46" t="s">
        <v>5</v>
      </c>
      <c r="B46" t="s">
        <v>61</v>
      </c>
      <c r="C46" t="s">
        <v>62</v>
      </c>
      <c r="D46" t="s">
        <v>4</v>
      </c>
      <c r="E46" t="s">
        <v>63</v>
      </c>
      <c r="F46" t="s">
        <v>64</v>
      </c>
      <c r="G46" t="s">
        <v>65</v>
      </c>
      <c r="H46" t="s">
        <v>66</v>
      </c>
      <c r="I46" t="s">
        <v>67</v>
      </c>
      <c r="K46" t="s">
        <v>68</v>
      </c>
      <c r="L46" t="s">
        <v>69</v>
      </c>
      <c r="M46" t="s">
        <v>70</v>
      </c>
      <c r="N46" t="s">
        <v>71</v>
      </c>
      <c r="O46" t="s">
        <v>66</v>
      </c>
    </row>
    <row r="47" spans="1:27">
      <c r="A47">
        <v>0</v>
      </c>
      <c r="B47">
        <f xml:space="preserve"> 0.000005873172*A47^4 + 0.001564162*A47^3 - 0.004653684*A47^2 + 1.952917*A47 + 1565</f>
        <v>1565</v>
      </c>
      <c r="C47">
        <f xml:space="preserve"> -0.0001094881*A47^4 + 0.005866919*A47^3 + 0.1376831*A47^2 + 0.7741483*A47 + 1570</f>
        <v>1570</v>
      </c>
      <c r="D47">
        <f t="shared" ref="D47:D64" si="4">((B47-C47)/(150-100))*($B$35-100)+C47</f>
        <v>1574.235807860262</v>
      </c>
      <c r="E47">
        <f t="shared" ref="E47:E61" si="5">A47*PI()*($B$33/12/2)^2/0.00223</f>
        <v>0</v>
      </c>
      <c r="F47">
        <f t="shared" ref="F47:F64" si="6">($B$34*$B$31/D47)^2</f>
        <v>70.308573890862789</v>
      </c>
      <c r="G47">
        <f t="shared" ref="G47:G55" si="7">$B$34*E47^0.5/F47^(3/4)</f>
        <v>0</v>
      </c>
      <c r="H47">
        <f t="shared" ref="H47:H64" si="8">0.00000000714842*G47^3 - 0.0000584345*G47^2 + 0.1267468*G47- 4.093793</f>
        <v>-4.0937929999999998</v>
      </c>
      <c r="I47" s="1">
        <v>200</v>
      </c>
      <c r="K47">
        <f>A47*0.3048</f>
        <v>0</v>
      </c>
      <c r="L47">
        <f>E47*0.0000630902</f>
        <v>0</v>
      </c>
      <c r="M47">
        <f>F47*0.3048</f>
        <v>21.430053321934977</v>
      </c>
      <c r="N47" s="1">
        <f>+I47*0.7457</f>
        <v>149.14000000000001</v>
      </c>
      <c r="O47" s="12">
        <f>$D$43*L47*M47/N47</f>
        <v>0</v>
      </c>
    </row>
    <row r="48" spans="1:27">
      <c r="A48">
        <v>2</v>
      </c>
      <c r="B48">
        <f t="shared" ref="B48:B64" si="9" xml:space="preserve"> 0.000005873172*A48^4 + 0.001564162*A48^3 - 0.004653684*A48^2 + 1.952917*A48 + 1565</f>
        <v>1568.8998265307521</v>
      </c>
      <c r="C48">
        <f t="shared" ref="C48:C64" si="10" xml:space="preserve"> -0.0001094881*A48^4 + 0.005866919*A48^3 + 0.1376831*A48^2 + 0.7741483*A48 + 1570</f>
        <v>1572.1442125424001</v>
      </c>
      <c r="D48">
        <f t="shared" si="4"/>
        <v>1574.8927316963725</v>
      </c>
      <c r="E48">
        <f t="shared" si="5"/>
        <v>2729.5282242269527</v>
      </c>
      <c r="F48">
        <f t="shared" si="6"/>
        <v>70.249931490354172</v>
      </c>
      <c r="G48">
        <f t="shared" si="7"/>
        <v>645.92280886330116</v>
      </c>
      <c r="H48">
        <f t="shared" si="8"/>
        <v>55.321455838992172</v>
      </c>
      <c r="I48">
        <f t="shared" ref="I48:I64" si="11">F48*E48/(3960*H48/100)</f>
        <v>87.527537067748142</v>
      </c>
      <c r="K48">
        <f t="shared" ref="K48:K64" si="12">A48*0.3048</f>
        <v>0.60960000000000003</v>
      </c>
      <c r="L48">
        <f t="shared" ref="L48:L64" si="13">E48*0.0000630902</f>
        <v>0.17220648157212329</v>
      </c>
      <c r="M48">
        <f t="shared" ref="M48:M64" si="14">F48*0.3048</f>
        <v>21.412179118259953</v>
      </c>
      <c r="N48">
        <f t="shared" ref="N48:N64" si="15">+I48*0.7457</f>
        <v>65.269284391419788</v>
      </c>
      <c r="O48" s="12">
        <f t="shared" ref="O48:O64" si="16">$D$43*L48*M48/N48</f>
        <v>0.55420509937089957</v>
      </c>
    </row>
    <row r="49" spans="1:15">
      <c r="A49">
        <v>4</v>
      </c>
      <c r="B49">
        <f t="shared" si="9"/>
        <v>1572.8388189560319</v>
      </c>
      <c r="C49">
        <f t="shared" si="10"/>
        <v>1575.6469766624</v>
      </c>
      <c r="D49">
        <f t="shared" si="4"/>
        <v>1578.0259399594979</v>
      </c>
      <c r="E49">
        <f t="shared" si="5"/>
        <v>5459.0564484539054</v>
      </c>
      <c r="F49">
        <f t="shared" si="6"/>
        <v>69.971242597170871</v>
      </c>
      <c r="G49">
        <f t="shared" si="7"/>
        <v>916.2001475883942</v>
      </c>
      <c r="H49">
        <f t="shared" si="8"/>
        <v>68.478098707983548</v>
      </c>
      <c r="I49">
        <f t="shared" si="11"/>
        <v>140.86084585761381</v>
      </c>
      <c r="K49">
        <f t="shared" si="12"/>
        <v>1.2192000000000001</v>
      </c>
      <c r="L49">
        <f t="shared" si="13"/>
        <v>0.34441296314424658</v>
      </c>
      <c r="M49">
        <f t="shared" si="14"/>
        <v>21.327234743617684</v>
      </c>
      <c r="N49">
        <f t="shared" si="15"/>
        <v>105.03993275602262</v>
      </c>
      <c r="O49" s="12">
        <f t="shared" si="16"/>
        <v>0.68600710020431854</v>
      </c>
    </row>
    <row r="50" spans="1:15">
      <c r="A50">
        <v>6</v>
      </c>
      <c r="B50">
        <f t="shared" si="9"/>
        <v>1576.895439998912</v>
      </c>
      <c r="C50">
        <f t="shared" si="10"/>
        <v>1580.7268393264001</v>
      </c>
      <c r="D50">
        <f t="shared" si="4"/>
        <v>1583.9726536038354</v>
      </c>
      <c r="E50">
        <f t="shared" si="5"/>
        <v>8188.5846726808577</v>
      </c>
      <c r="F50">
        <f t="shared" si="6"/>
        <v>69.446842303622063</v>
      </c>
      <c r="G50">
        <f t="shared" si="7"/>
        <v>1128.4603370862671</v>
      </c>
      <c r="H50">
        <f t="shared" si="8"/>
        <v>74.795452904091917</v>
      </c>
      <c r="I50">
        <f t="shared" si="11"/>
        <v>191.99546268707167</v>
      </c>
      <c r="K50">
        <f t="shared" si="12"/>
        <v>1.8288000000000002</v>
      </c>
      <c r="L50">
        <f t="shared" si="13"/>
        <v>0.51661944471636978</v>
      </c>
      <c r="M50">
        <f t="shared" si="14"/>
        <v>21.167397534144005</v>
      </c>
      <c r="N50">
        <f t="shared" si="15"/>
        <v>143.17101652574934</v>
      </c>
      <c r="O50" s="12">
        <f t="shared" si="16"/>
        <v>0.7492937555700967</v>
      </c>
    </row>
    <row r="51" spans="1:15">
      <c r="A51">
        <v>8</v>
      </c>
      <c r="B51">
        <f t="shared" si="9"/>
        <v>1581.150407680512</v>
      </c>
      <c r="C51">
        <f t="shared" si="10"/>
        <v>1587.5603040704</v>
      </c>
      <c r="D51">
        <f t="shared" si="4"/>
        <v>1592.9905219727505</v>
      </c>
      <c r="E51">
        <f t="shared" si="5"/>
        <v>10918.112896907811</v>
      </c>
      <c r="F51">
        <f t="shared" si="6"/>
        <v>68.662795131990507</v>
      </c>
      <c r="G51">
        <f t="shared" si="7"/>
        <v>1314.1772235823705</v>
      </c>
      <c r="H51">
        <f t="shared" si="8"/>
        <v>77.77849388670684</v>
      </c>
      <c r="I51">
        <f t="shared" si="11"/>
        <v>243.39650871790968</v>
      </c>
      <c r="K51">
        <f t="shared" si="12"/>
        <v>2.4384000000000001</v>
      </c>
      <c r="L51">
        <f t="shared" si="13"/>
        <v>0.68882592628849315</v>
      </c>
      <c r="M51">
        <f t="shared" si="14"/>
        <v>20.928419956230709</v>
      </c>
      <c r="N51">
        <f t="shared" si="15"/>
        <v>181.50077655094526</v>
      </c>
      <c r="O51" s="12">
        <f t="shared" si="16"/>
        <v>0.77917757730120041</v>
      </c>
    </row>
    <row r="52" spans="1:15">
      <c r="A52">
        <v>10</v>
      </c>
      <c r="B52">
        <f t="shared" si="9"/>
        <v>1585.6866953199999</v>
      </c>
      <c r="C52">
        <f t="shared" si="10"/>
        <v>1596.281831</v>
      </c>
      <c r="D52">
        <f t="shared" si="4"/>
        <v>1605.2576227987774</v>
      </c>
      <c r="E52">
        <f t="shared" si="5"/>
        <v>13647.641121134764</v>
      </c>
      <c r="F52">
        <f t="shared" si="6"/>
        <v>67.617386483957816</v>
      </c>
      <c r="G52">
        <f t="shared" si="7"/>
        <v>1486.2992756607534</v>
      </c>
      <c r="H52">
        <f t="shared" si="8"/>
        <v>78.673927485943466</v>
      </c>
      <c r="I52">
        <f t="shared" si="11"/>
        <v>296.20334405357295</v>
      </c>
      <c r="K52">
        <f t="shared" si="12"/>
        <v>3.048</v>
      </c>
      <c r="L52">
        <f t="shared" si="13"/>
        <v>0.86103240786061641</v>
      </c>
      <c r="M52">
        <f t="shared" si="14"/>
        <v>20.609779400310344</v>
      </c>
      <c r="N52">
        <f t="shared" si="15"/>
        <v>220.87883366074936</v>
      </c>
      <c r="O52" s="12">
        <f t="shared" si="16"/>
        <v>0.78814794619910633</v>
      </c>
    </row>
    <row r="53" spans="1:15">
      <c r="A53">
        <v>12</v>
      </c>
      <c r="B53">
        <f t="shared" si="9"/>
        <v>1590.589531534592</v>
      </c>
      <c r="C53">
        <f t="shared" si="10"/>
        <v>1606.9838367903999</v>
      </c>
      <c r="D53">
        <f t="shared" si="4"/>
        <v>1620.872462203617</v>
      </c>
      <c r="E53">
        <f t="shared" si="5"/>
        <v>16377.169345361715</v>
      </c>
      <c r="F53">
        <f t="shared" si="6"/>
        <v>66.320863888411608</v>
      </c>
      <c r="G53">
        <f t="shared" si="7"/>
        <v>1651.9733755745322</v>
      </c>
      <c r="H53">
        <f t="shared" si="8"/>
        <v>78.046807647365313</v>
      </c>
      <c r="I53">
        <f t="shared" si="11"/>
        <v>351.42988041858234</v>
      </c>
      <c r="K53">
        <f t="shared" si="12"/>
        <v>3.6576000000000004</v>
      </c>
      <c r="L53">
        <f t="shared" si="13"/>
        <v>1.0332388894327396</v>
      </c>
      <c r="M53">
        <f t="shared" si="14"/>
        <v>20.214599313187858</v>
      </c>
      <c r="N53">
        <f t="shared" si="15"/>
        <v>262.06126182813688</v>
      </c>
      <c r="O53" s="12">
        <f t="shared" si="16"/>
        <v>0.78186551911569413</v>
      </c>
    </row>
    <row r="54" spans="1:15">
      <c r="A54">
        <v>14</v>
      </c>
      <c r="B54">
        <f t="shared" si="9"/>
        <v>1595.9464002395521</v>
      </c>
      <c r="C54">
        <f t="shared" si="10"/>
        <v>1619.7166946863999</v>
      </c>
      <c r="D54">
        <f t="shared" si="4"/>
        <v>1639.8539746981401</v>
      </c>
      <c r="E54">
        <f t="shared" si="5"/>
        <v>19106.697569588669</v>
      </c>
      <c r="F54">
        <f t="shared" si="6"/>
        <v>64.794405391326492</v>
      </c>
      <c r="G54">
        <f t="shared" si="7"/>
        <v>1815.7704240212336</v>
      </c>
      <c r="H54">
        <f t="shared" si="8"/>
        <v>76.184436757280736</v>
      </c>
      <c r="I54">
        <f t="shared" si="11"/>
        <v>410.35685355941752</v>
      </c>
      <c r="K54">
        <f t="shared" si="12"/>
        <v>4.2671999999999999</v>
      </c>
      <c r="L54">
        <f t="shared" si="13"/>
        <v>1.2054453710048629</v>
      </c>
      <c r="M54">
        <f t="shared" si="14"/>
        <v>19.749334763276316</v>
      </c>
      <c r="N54">
        <f t="shared" si="15"/>
        <v>306.00310569925767</v>
      </c>
      <c r="O54" s="12">
        <f t="shared" si="16"/>
        <v>0.76320846411683951</v>
      </c>
    </row>
    <row r="55" spans="1:15">
      <c r="A55">
        <v>16</v>
      </c>
      <c r="B55">
        <f t="shared" si="9"/>
        <v>1601.847040648192</v>
      </c>
      <c r="C55">
        <f t="shared" si="10"/>
        <v>1634.4887345023999</v>
      </c>
      <c r="D55">
        <f t="shared" si="4"/>
        <v>1662.1415231823839</v>
      </c>
      <c r="E55">
        <f t="shared" si="5"/>
        <v>21836.225793815622</v>
      </c>
      <c r="F55">
        <f t="shared" si="6"/>
        <v>63.068407390415757</v>
      </c>
      <c r="G55">
        <f t="shared" si="7"/>
        <v>1980.8479698853216</v>
      </c>
      <c r="H55">
        <f t="shared" si="8"/>
        <v>73.249632869757306</v>
      </c>
      <c r="I55">
        <f t="shared" si="11"/>
        <v>474.77604946994188</v>
      </c>
      <c r="K55">
        <f t="shared" si="12"/>
        <v>4.8768000000000002</v>
      </c>
      <c r="L55">
        <f t="shared" si="13"/>
        <v>1.3776518525769863</v>
      </c>
      <c r="M55">
        <f t="shared" si="14"/>
        <v>19.223250572598722</v>
      </c>
      <c r="N55">
        <f t="shared" si="15"/>
        <v>354.0405000897357</v>
      </c>
      <c r="O55" s="12">
        <f t="shared" si="16"/>
        <v>0.73380787703083161</v>
      </c>
    </row>
    <row r="56" spans="1:15">
      <c r="A56">
        <v>18</v>
      </c>
      <c r="B56">
        <f t="shared" si="9"/>
        <v>1608.383447271872</v>
      </c>
      <c r="C56">
        <f t="shared" si="10"/>
        <v>1651.2662426224001</v>
      </c>
      <c r="D56">
        <f t="shared" si="4"/>
        <v>1687.5948989455549</v>
      </c>
      <c r="E56">
        <f t="shared" si="5"/>
        <v>24565.754018042571</v>
      </c>
      <c r="F56">
        <f t="shared" si="6"/>
        <v>61.180279181547675</v>
      </c>
      <c r="G56">
        <f>$B$34*E56^0.5/F56^(3/4)</f>
        <v>2149.4518123961379</v>
      </c>
      <c r="H56">
        <f t="shared" si="8"/>
        <v>69.355944603237617</v>
      </c>
      <c r="I56">
        <f t="shared" si="11"/>
        <v>547.22090038382419</v>
      </c>
      <c r="K56">
        <f t="shared" si="12"/>
        <v>5.4864000000000006</v>
      </c>
      <c r="L56">
        <f t="shared" si="13"/>
        <v>1.5498583341491092</v>
      </c>
      <c r="M56">
        <f t="shared" si="14"/>
        <v>18.647749094535733</v>
      </c>
      <c r="N56">
        <f t="shared" si="15"/>
        <v>408.06262541621771</v>
      </c>
      <c r="O56" s="12">
        <f t="shared" si="16"/>
        <v>0.69480127715128004</v>
      </c>
    </row>
    <row r="57" spans="1:15">
      <c r="A57">
        <v>20</v>
      </c>
      <c r="B57">
        <f t="shared" si="9"/>
        <v>1615.6498699199999</v>
      </c>
      <c r="C57">
        <f t="shared" si="10"/>
        <v>1669.9734619999999</v>
      </c>
      <c r="D57">
        <f t="shared" si="4"/>
        <v>1715.9943216660261</v>
      </c>
      <c r="E57">
        <f t="shared" si="5"/>
        <v>27295.282242269528</v>
      </c>
      <c r="F57">
        <f t="shared" si="6"/>
        <v>59.171989238918009</v>
      </c>
      <c r="G57">
        <f t="shared" ref="G57:G64" si="17">$B$34*E57^0.5/F57^(3/4)</f>
        <v>2323.1535851335225</v>
      </c>
      <c r="H57">
        <f t="shared" si="8"/>
        <v>64.613030442034898</v>
      </c>
      <c r="I57">
        <f t="shared" si="11"/>
        <v>631.23120849929353</v>
      </c>
      <c r="K57">
        <f t="shared" si="12"/>
        <v>6.0960000000000001</v>
      </c>
      <c r="L57">
        <f t="shared" si="13"/>
        <v>1.7220648157212328</v>
      </c>
      <c r="M57">
        <f t="shared" si="14"/>
        <v>18.03562232002221</v>
      </c>
      <c r="N57">
        <f t="shared" si="15"/>
        <v>470.7091121779232</v>
      </c>
      <c r="O57" s="12">
        <f t="shared" si="16"/>
        <v>0.64728721277692336</v>
      </c>
    </row>
    <row r="58" spans="1:15">
      <c r="A58">
        <v>22</v>
      </c>
      <c r="B58">
        <f t="shared" si="9"/>
        <v>1623.742813700032</v>
      </c>
      <c r="C58">
        <f t="shared" si="10"/>
        <v>1690.4925921583999</v>
      </c>
      <c r="D58">
        <f t="shared" si="4"/>
        <v>1747.0404394113405</v>
      </c>
      <c r="E58">
        <f t="shared" si="5"/>
        <v>30024.810466496474</v>
      </c>
      <c r="F58">
        <f t="shared" si="6"/>
        <v>57.087621200951268</v>
      </c>
      <c r="G58">
        <f t="shared" si="17"/>
        <v>2502.9658949560021</v>
      </c>
      <c r="H58">
        <f t="shared" si="8"/>
        <v>59.158494454013301</v>
      </c>
      <c r="I58">
        <f t="shared" si="11"/>
        <v>731.66102706190327</v>
      </c>
      <c r="K58">
        <f t="shared" si="12"/>
        <v>6.7056000000000004</v>
      </c>
      <c r="L58">
        <f t="shared" si="13"/>
        <v>1.8942712972933557</v>
      </c>
      <c r="M58">
        <f t="shared" si="14"/>
        <v>17.400306942049948</v>
      </c>
      <c r="N58">
        <f t="shared" si="15"/>
        <v>545.59962788006123</v>
      </c>
      <c r="O58" s="12">
        <f t="shared" si="16"/>
        <v>0.59264418841289357</v>
      </c>
    </row>
    <row r="59" spans="1:15">
      <c r="A59">
        <v>24</v>
      </c>
      <c r="B59">
        <f t="shared" si="9"/>
        <v>1632.7610390174721</v>
      </c>
      <c r="C59">
        <f t="shared" si="10"/>
        <v>1712.6637891903999</v>
      </c>
      <c r="D59">
        <f t="shared" si="4"/>
        <v>1780.3543286382078</v>
      </c>
      <c r="E59">
        <f t="shared" si="5"/>
        <v>32754.338690723431</v>
      </c>
      <c r="F59">
        <f t="shared" si="6"/>
        <v>54.971169018672605</v>
      </c>
      <c r="G59">
        <f t="shared" si="17"/>
        <v>2689.3940695175338</v>
      </c>
      <c r="H59">
        <f t="shared" si="8"/>
        <v>53.181650659174927</v>
      </c>
      <c r="I59">
        <f t="shared" si="11"/>
        <v>854.96199429825958</v>
      </c>
      <c r="K59">
        <f t="shared" si="12"/>
        <v>7.3152000000000008</v>
      </c>
      <c r="L59">
        <f t="shared" si="13"/>
        <v>2.0664777788654791</v>
      </c>
      <c r="M59">
        <f t="shared" si="14"/>
        <v>16.755212316891409</v>
      </c>
      <c r="N59">
        <f t="shared" si="15"/>
        <v>637.54515914821218</v>
      </c>
      <c r="O59" s="12">
        <f t="shared" si="16"/>
        <v>0.53276873396203517</v>
      </c>
    </row>
    <row r="60" spans="1:15">
      <c r="A60">
        <v>26</v>
      </c>
      <c r="B60">
        <f t="shared" si="9"/>
        <v>1642.8055615758719</v>
      </c>
      <c r="C60">
        <f t="shared" si="10"/>
        <v>1736.2851657583999</v>
      </c>
      <c r="D60">
        <f t="shared" si="4"/>
        <v>1815.4774941925066</v>
      </c>
      <c r="E60">
        <f t="shared" si="5"/>
        <v>35483.866914950391</v>
      </c>
      <c r="F60">
        <f t="shared" si="6"/>
        <v>52.864742778946912</v>
      </c>
      <c r="G60">
        <f t="shared" si="17"/>
        <v>2882.4523256701386</v>
      </c>
      <c r="H60">
        <f t="shared" si="8"/>
        <v>46.940059080907538</v>
      </c>
      <c r="I60">
        <f t="shared" si="11"/>
        <v>1009.1558621129313</v>
      </c>
      <c r="K60">
        <f t="shared" si="12"/>
        <v>7.9248000000000003</v>
      </c>
      <c r="L60">
        <f t="shared" si="13"/>
        <v>2.2386842604376032</v>
      </c>
      <c r="M60">
        <f t="shared" si="14"/>
        <v>16.113173599023021</v>
      </c>
      <c r="N60">
        <f t="shared" si="15"/>
        <v>752.52752637761296</v>
      </c>
      <c r="O60" s="12">
        <f t="shared" si="16"/>
        <v>0.47024106131846471</v>
      </c>
    </row>
    <row r="61" spans="1:15">
      <c r="A61">
        <v>28</v>
      </c>
      <c r="B61">
        <f t="shared" si="9"/>
        <v>1653.9796523768321</v>
      </c>
      <c r="C61">
        <f t="shared" si="10"/>
        <v>1761.1127910944001</v>
      </c>
      <c r="D61">
        <f t="shared" si="4"/>
        <v>1851.8718693092831</v>
      </c>
      <c r="E61">
        <f t="shared" si="5"/>
        <v>38213.395139177337</v>
      </c>
      <c r="F61">
        <f t="shared" si="6"/>
        <v>50.80728559877268</v>
      </c>
      <c r="G61">
        <f t="shared" si="17"/>
        <v>3081.6589437555081</v>
      </c>
      <c r="H61">
        <f t="shared" si="8"/>
        <v>40.767278290799943</v>
      </c>
      <c r="I61">
        <f t="shared" si="11"/>
        <v>1202.6374242900422</v>
      </c>
      <c r="K61">
        <f t="shared" si="12"/>
        <v>8.5343999999999998</v>
      </c>
      <c r="L61">
        <f t="shared" si="13"/>
        <v>2.4108907420097259</v>
      </c>
      <c r="M61">
        <f t="shared" si="14"/>
        <v>15.486060650505914</v>
      </c>
      <c r="N61">
        <f t="shared" si="15"/>
        <v>896.80672729308446</v>
      </c>
      <c r="O61" s="12">
        <f t="shared" si="16"/>
        <v>0.40840272862648319</v>
      </c>
    </row>
    <row r="62" spans="1:15">
      <c r="A62">
        <v>30</v>
      </c>
      <c r="B62">
        <f t="shared" si="9"/>
        <v>1666.3888377200001</v>
      </c>
      <c r="C62">
        <f t="shared" si="10"/>
        <v>1786.8606909999999</v>
      </c>
      <c r="D62">
        <f t="shared" si="4"/>
        <v>1888.9198156127509</v>
      </c>
      <c r="E62">
        <f>A62*PI()*($B$33/12/2)^2/0.00223</f>
        <v>40942.92336340429</v>
      </c>
      <c r="F62">
        <f t="shared" si="6"/>
        <v>48.833833402939646</v>
      </c>
      <c r="G62">
        <f t="shared" si="17"/>
        <v>3286.0189680335443</v>
      </c>
      <c r="H62">
        <f t="shared" si="8"/>
        <v>35.068969903276987</v>
      </c>
      <c r="I62">
        <f t="shared" si="11"/>
        <v>1439.7313798347284</v>
      </c>
      <c r="K62">
        <f t="shared" si="12"/>
        <v>9.1440000000000001</v>
      </c>
      <c r="L62">
        <f t="shared" si="13"/>
        <v>2.583097223581849</v>
      </c>
      <c r="M62">
        <f t="shared" si="14"/>
        <v>14.884552421216005</v>
      </c>
      <c r="N62">
        <f t="shared" si="15"/>
        <v>1073.6076899427569</v>
      </c>
      <c r="O62" s="12">
        <f t="shared" si="16"/>
        <v>0.35131761547717744</v>
      </c>
    </row>
    <row r="63" spans="1:15">
      <c r="A63">
        <v>32</v>
      </c>
      <c r="B63">
        <f t="shared" si="9"/>
        <v>1680.140899203072</v>
      </c>
      <c r="C63">
        <f t="shared" si="10"/>
        <v>1813.2008478463999</v>
      </c>
      <c r="D63">
        <f t="shared" si="4"/>
        <v>1925.9241231162935</v>
      </c>
      <c r="E63">
        <f>A63*PI()*($B$33/12/2)^2/0.00223</f>
        <v>43672.451587631243</v>
      </c>
      <c r="F63">
        <f t="shared" si="6"/>
        <v>46.975295045277043</v>
      </c>
      <c r="G63">
        <f t="shared" si="17"/>
        <v>3494.0000218398809</v>
      </c>
      <c r="H63">
        <f t="shared" si="8"/>
        <v>30.304027574512368</v>
      </c>
      <c r="I63">
        <f t="shared" si="11"/>
        <v>1709.5489877126925</v>
      </c>
      <c r="K63">
        <f t="shared" si="12"/>
        <v>9.7536000000000005</v>
      </c>
      <c r="L63">
        <f t="shared" si="13"/>
        <v>2.7553037051539726</v>
      </c>
      <c r="M63">
        <f t="shared" si="14"/>
        <v>14.318069929800444</v>
      </c>
      <c r="N63">
        <f t="shared" si="15"/>
        <v>1274.8106801373549</v>
      </c>
      <c r="O63" s="12">
        <f t="shared" si="16"/>
        <v>0.30358287500875475</v>
      </c>
    </row>
    <row r="64" spans="1:15">
      <c r="A64">
        <v>36</v>
      </c>
      <c r="B64">
        <f t="shared" si="9"/>
        <v>1712.116053469952</v>
      </c>
      <c r="C64">
        <f t="shared" si="10"/>
        <v>1866.1356446944001</v>
      </c>
      <c r="D64">
        <f t="shared" si="4"/>
        <v>1996.6151237229717</v>
      </c>
      <c r="E64">
        <f>A64*PI()*($B$33/12/2)^2/0.00223</f>
        <v>49131.508036085143</v>
      </c>
      <c r="F64">
        <f t="shared" si="6"/>
        <v>43.707820369933089</v>
      </c>
      <c r="G64">
        <f t="shared" si="17"/>
        <v>3911.8477158831943</v>
      </c>
      <c r="H64">
        <f t="shared" si="8"/>
        <v>25.436774205653712</v>
      </c>
      <c r="I64">
        <f t="shared" si="11"/>
        <v>2131.8764063011477</v>
      </c>
      <c r="K64">
        <f t="shared" si="12"/>
        <v>10.972800000000001</v>
      </c>
      <c r="L64">
        <f t="shared" si="13"/>
        <v>3.0997166682982185</v>
      </c>
      <c r="M64">
        <f t="shared" si="14"/>
        <v>13.322143648755606</v>
      </c>
      <c r="N64">
        <f t="shared" si="15"/>
        <v>1589.7402361787658</v>
      </c>
      <c r="O64" s="12">
        <f t="shared" si="16"/>
        <v>0.25482319224114375</v>
      </c>
    </row>
    <row r="65" spans="1:15">
      <c r="O65" s="12"/>
    </row>
    <row r="66" spans="1:15">
      <c r="A66">
        <f>A3</f>
        <v>5.4970629948544047</v>
      </c>
      <c r="B66" t="s">
        <v>72</v>
      </c>
      <c r="C66">
        <v>0.6</v>
      </c>
      <c r="D66" t="s">
        <v>73</v>
      </c>
      <c r="L66" s="4">
        <f>A66*PI()*(C66/2)^2</f>
        <v>1.5542579448859415</v>
      </c>
    </row>
    <row r="67" spans="1:15">
      <c r="A67">
        <f>A66*(C66^2/$D$32^2)/0.3048</f>
        <v>18.034983578918649</v>
      </c>
      <c r="B67">
        <f t="shared" ref="B67" si="18" xml:space="preserve"> 0.000005873172*A67^4 + 0.001564162*A67^3 - 0.004653684*A67^2 + 1.952917*A67 + 1565</f>
        <v>1608.5039990450855</v>
      </c>
      <c r="C67">
        <f t="shared" ref="C67" si="19" xml:space="preserve"> -0.0001094881*A67^4 + 0.005866919*A67^3 + 0.1376831*A67^2 + 0.7741483*A67 + 1570</f>
        <v>1651.5771661118906</v>
      </c>
      <c r="D67">
        <f>((B67-C67)/(150-100))*($B$35-100)+C67</f>
        <v>1688.0670980374809</v>
      </c>
      <c r="E67">
        <f>A67*PI()*($B$33/12/2)^2/0.00223</f>
        <v>24613.498351064038</v>
      </c>
      <c r="F67">
        <f>($B$34*$B$31/D67)^2</f>
        <v>61.146056333720907</v>
      </c>
      <c r="G67">
        <f>$B$34*E67^0.5/F67^(3/4)</f>
        <v>2152.4426463680775</v>
      </c>
      <c r="H67">
        <f t="shared" ref="H67" si="20">0.00000000714842*G67^3 - 0.0000584345*G67^2 + 0.1267468*G67- 4.093793</f>
        <v>69.279935088751472</v>
      </c>
      <c r="I67">
        <f>F67*E67/(3960*H67/100)</f>
        <v>548.5789501752198</v>
      </c>
      <c r="K67">
        <f t="shared" ref="K67" si="21">A67*0.3048</f>
        <v>5.4970629948544047</v>
      </c>
      <c r="L67">
        <f t="shared" ref="L67" si="22">E67*0.0000630902</f>
        <v>1.5528705336683002</v>
      </c>
      <c r="M67">
        <f t="shared" ref="M67" si="23">F67*0.3048</f>
        <v>18.637317970518133</v>
      </c>
      <c r="N67">
        <f t="shared" ref="N67" si="24">+I67*0.7457</f>
        <v>409.0753231456614</v>
      </c>
      <c r="O67" s="12">
        <f t="shared" ref="O67" si="25">$D$43*L67*M67/N67</f>
        <v>0.69403982104189055</v>
      </c>
    </row>
    <row r="68" spans="1:15">
      <c r="O68" s="12"/>
    </row>
    <row r="69" spans="1:15">
      <c r="M69" t="str">
        <f t="shared" ref="M69:M86" si="26">TEXT(L47,"0.0000000")&amp;": "&amp;TEXT(M47,"0.000000")&amp;","</f>
        <v>0.0000000: 21.430053,</v>
      </c>
      <c r="N69" t="str">
        <f t="shared" ref="N69:N86" si="27">TEXT(L47,"0.000000")&amp;": "&amp;TEXT(N47,"0.000000")&amp;","</f>
        <v>0.000000: 149.140000,</v>
      </c>
    </row>
    <row r="70" spans="1:15">
      <c r="M70" t="str">
        <f t="shared" si="26"/>
        <v>0.1722065: 21.412179,</v>
      </c>
      <c r="N70" t="str">
        <f t="shared" si="27"/>
        <v>0.172206: 65.269284,</v>
      </c>
    </row>
    <row r="71" spans="1:15">
      <c r="M71" t="str">
        <f t="shared" si="26"/>
        <v>0.3444130: 21.327235,</v>
      </c>
      <c r="N71" t="str">
        <f t="shared" si="27"/>
        <v>0.344413: 105.039933,</v>
      </c>
    </row>
    <row r="72" spans="1:15">
      <c r="M72" t="str">
        <f t="shared" si="26"/>
        <v>0.5166194: 21.167398,</v>
      </c>
      <c r="N72" t="str">
        <f t="shared" si="27"/>
        <v>0.516619: 143.171017,</v>
      </c>
    </row>
    <row r="73" spans="1:15">
      <c r="M73" t="str">
        <f t="shared" si="26"/>
        <v>0.6888259: 20.928420,</v>
      </c>
      <c r="N73" t="str">
        <f t="shared" si="27"/>
        <v>0.688826: 181.500777,</v>
      </c>
    </row>
    <row r="74" spans="1:15">
      <c r="M74" t="str">
        <f t="shared" si="26"/>
        <v>0.8610324: 20.609779,</v>
      </c>
      <c r="N74" t="str">
        <f t="shared" si="27"/>
        <v>0.861032: 220.878834,</v>
      </c>
    </row>
    <row r="75" spans="1:15">
      <c r="M75" t="str">
        <f t="shared" si="26"/>
        <v>1.0332389: 20.214599,</v>
      </c>
      <c r="N75" t="str">
        <f t="shared" si="27"/>
        <v>1.033239: 262.061262,</v>
      </c>
    </row>
    <row r="76" spans="1:15">
      <c r="M76" t="str">
        <f t="shared" si="26"/>
        <v>1.2054454: 19.749335,</v>
      </c>
      <c r="N76" t="str">
        <f t="shared" si="27"/>
        <v>1.205445: 306.003106,</v>
      </c>
    </row>
    <row r="77" spans="1:15">
      <c r="M77" t="str">
        <f t="shared" si="26"/>
        <v>1.3776519: 19.223251,</v>
      </c>
      <c r="N77" t="str">
        <f t="shared" si="27"/>
        <v>1.377652: 354.040500,</v>
      </c>
    </row>
    <row r="78" spans="1:15">
      <c r="M78" t="str">
        <f t="shared" si="26"/>
        <v>1.5498583: 18.647749,</v>
      </c>
      <c r="N78" t="str">
        <f t="shared" si="27"/>
        <v>1.549858: 408.062625,</v>
      </c>
    </row>
    <row r="79" spans="1:15">
      <c r="M79" t="str">
        <f t="shared" si="26"/>
        <v>1.7220648: 18.035622,</v>
      </c>
      <c r="N79" t="str">
        <f t="shared" si="27"/>
        <v>1.722065: 470.709112,</v>
      </c>
    </row>
    <row r="80" spans="1:15">
      <c r="M80" t="str">
        <f t="shared" si="26"/>
        <v>1.8942713: 17.400307,</v>
      </c>
      <c r="N80" t="str">
        <f t="shared" si="27"/>
        <v>1.894271: 545.599628,</v>
      </c>
    </row>
    <row r="81" spans="1:14">
      <c r="M81" t="str">
        <f t="shared" si="26"/>
        <v>2.0664778: 16.755212,</v>
      </c>
      <c r="N81" t="str">
        <f t="shared" si="27"/>
        <v>2.066478: 637.545159,</v>
      </c>
    </row>
    <row r="82" spans="1:14">
      <c r="M82" t="str">
        <f t="shared" si="26"/>
        <v>2.2386843: 16.113174,</v>
      </c>
      <c r="N82" t="str">
        <f t="shared" si="27"/>
        <v>2.238684: 752.527526,</v>
      </c>
    </row>
    <row r="83" spans="1:14">
      <c r="M83" t="str">
        <f t="shared" si="26"/>
        <v>2.4108907: 15.486061,</v>
      </c>
      <c r="N83" t="str">
        <f t="shared" si="27"/>
        <v>2.410891: 896.806727,</v>
      </c>
    </row>
    <row r="84" spans="1:14">
      <c r="M84" t="str">
        <f t="shared" si="26"/>
        <v>2.5830972: 14.884552,</v>
      </c>
      <c r="N84" t="str">
        <f t="shared" si="27"/>
        <v>2.583097: 1073.607690,</v>
      </c>
    </row>
    <row r="85" spans="1:14">
      <c r="M85" t="str">
        <f t="shared" si="26"/>
        <v>2.7553037: 14.318070,</v>
      </c>
      <c r="N85" t="str">
        <f t="shared" si="27"/>
        <v>2.755304: 1274.810680,</v>
      </c>
    </row>
    <row r="86" spans="1:14">
      <c r="M86" t="str">
        <f t="shared" si="26"/>
        <v>3.0997167: 13.322144,</v>
      </c>
      <c r="N86" t="str">
        <f t="shared" si="27"/>
        <v>3.099717: 1589.740236,</v>
      </c>
    </row>
    <row r="89" spans="1:14">
      <c r="A89" t="str">
        <f>TEXT(D92,"0.000x")&amp;TEXT(D92,"0.000x")&amp;TEXT(D91,"0.000") &amp; "m Pump at "&amp;TEXT(B94,"0") &amp; " RPM"</f>
        <v>0.600x0.600x1.422m Pump at 450 RPM</v>
      </c>
    </row>
    <row r="91" spans="1:14" ht="14.5">
      <c r="A91" t="s">
        <v>40</v>
      </c>
      <c r="B91">
        <v>56</v>
      </c>
      <c r="C91" t="s">
        <v>41</v>
      </c>
      <c r="D91" s="10">
        <f>B91*0.3048/12</f>
        <v>1.4223999999999999</v>
      </c>
      <c r="E91" t="s">
        <v>2</v>
      </c>
    </row>
    <row r="92" spans="1:14" ht="14.5">
      <c r="A92" t="s">
        <v>42</v>
      </c>
      <c r="B92" s="9">
        <f>600/25.4</f>
        <v>23.622047244094489</v>
      </c>
      <c r="C92" t="s">
        <v>41</v>
      </c>
      <c r="D92" s="10">
        <f t="shared" ref="D92:D93" si="28">B92*0.3048/12</f>
        <v>0.6</v>
      </c>
      <c r="E92" t="s">
        <v>2</v>
      </c>
    </row>
    <row r="93" spans="1:14" ht="14.5">
      <c r="A93" t="s">
        <v>43</v>
      </c>
      <c r="B93" s="9">
        <f>500/25.4</f>
        <v>19.685039370078741</v>
      </c>
      <c r="C93" t="s">
        <v>41</v>
      </c>
      <c r="D93" s="10">
        <f t="shared" si="28"/>
        <v>0.50000000000000011</v>
      </c>
      <c r="E93" t="s">
        <v>2</v>
      </c>
    </row>
    <row r="94" spans="1:14" ht="14.5">
      <c r="A94" t="s">
        <v>44</v>
      </c>
      <c r="B94">
        <v>450</v>
      </c>
      <c r="C94" t="s">
        <v>45</v>
      </c>
      <c r="D94" s="20">
        <f>B94/60</f>
        <v>7.5</v>
      </c>
      <c r="E94" t="s">
        <v>46</v>
      </c>
    </row>
    <row r="95" spans="1:14">
      <c r="A95" t="s">
        <v>47</v>
      </c>
      <c r="B95">
        <f>B91*B94/229</f>
        <v>110.04366812227074</v>
      </c>
    </row>
    <row r="96" spans="1:14">
      <c r="A96" t="s">
        <v>48</v>
      </c>
      <c r="B96">
        <f>B91/B92</f>
        <v>2.3706666666666667</v>
      </c>
    </row>
    <row r="97" spans="1:28">
      <c r="U97" s="11"/>
      <c r="V97" s="11"/>
      <c r="W97" s="11"/>
      <c r="X97" s="11"/>
      <c r="Y97" s="11"/>
      <c r="Z97" s="11"/>
      <c r="AA97" s="11"/>
      <c r="AB97" s="11"/>
    </row>
    <row r="98" spans="1:28">
      <c r="A98" t="s">
        <v>49</v>
      </c>
      <c r="B98">
        <v>5685</v>
      </c>
      <c r="C98" t="s">
        <v>50</v>
      </c>
      <c r="D98">
        <f>B98*0.7457</f>
        <v>4239.3045000000002</v>
      </c>
      <c r="E98" t="s">
        <v>51</v>
      </c>
      <c r="U98" s="11"/>
      <c r="V98" s="11"/>
      <c r="W98" s="11"/>
      <c r="X98" s="11"/>
      <c r="Y98" s="11"/>
      <c r="Z98" s="11"/>
      <c r="AA98" s="11"/>
      <c r="AB98" s="11"/>
    </row>
    <row r="99" spans="1:28">
      <c r="A99" t="s">
        <v>52</v>
      </c>
      <c r="B99">
        <f>C19</f>
        <v>1.3092184974999901</v>
      </c>
      <c r="C99" t="s">
        <v>53</v>
      </c>
      <c r="U99" s="11"/>
      <c r="V99" s="11"/>
      <c r="W99" s="11"/>
      <c r="X99" s="11"/>
      <c r="Y99" s="11"/>
      <c r="Z99" s="11"/>
      <c r="AA99" s="11"/>
      <c r="AB99" s="11"/>
    </row>
    <row r="100" spans="1:28">
      <c r="A100" t="s">
        <v>54</v>
      </c>
      <c r="B100" s="2">
        <f>A4/0.3048</f>
        <v>25.970376353642855</v>
      </c>
      <c r="C100" t="s">
        <v>55</v>
      </c>
      <c r="D100">
        <f>B100*0.3048</f>
        <v>7.9157707125903425</v>
      </c>
      <c r="E100" t="s">
        <v>3</v>
      </c>
      <c r="U100" s="11"/>
      <c r="V100" s="11"/>
      <c r="W100" s="11"/>
      <c r="X100" s="11"/>
      <c r="Y100" s="11"/>
      <c r="Z100" s="11"/>
      <c r="AA100" s="11"/>
      <c r="AB100" s="11"/>
    </row>
    <row r="101" spans="1:28">
      <c r="A101" t="s">
        <v>56</v>
      </c>
      <c r="B101" s="14">
        <f>I120*B99</f>
        <v>2274.9460386117512</v>
      </c>
      <c r="C101" t="s">
        <v>50</v>
      </c>
      <c r="D101" s="23">
        <f>B101*0.7457</f>
        <v>1696.427260992783</v>
      </c>
      <c r="E101" t="s">
        <v>51</v>
      </c>
      <c r="U101" s="11"/>
      <c r="V101" s="11"/>
      <c r="W101" s="11"/>
      <c r="X101" s="11"/>
      <c r="Y101" s="11"/>
      <c r="Z101" s="11"/>
      <c r="AA101" s="11"/>
      <c r="AB101" s="11"/>
    </row>
    <row r="102" spans="1:28">
      <c r="U102" s="11"/>
      <c r="V102" s="11"/>
      <c r="W102" s="11"/>
      <c r="X102" s="11"/>
      <c r="Y102" s="11"/>
      <c r="Z102" s="11"/>
      <c r="AA102" s="11"/>
      <c r="AB102" s="11"/>
    </row>
    <row r="103" spans="1:28">
      <c r="A103" t="s">
        <v>57</v>
      </c>
      <c r="B103">
        <v>32.14</v>
      </c>
      <c r="C103" t="s">
        <v>58</v>
      </c>
      <c r="D103">
        <v>9.81</v>
      </c>
      <c r="E103" t="s">
        <v>59</v>
      </c>
      <c r="U103" s="11"/>
      <c r="V103" s="11"/>
      <c r="W103" s="11"/>
      <c r="X103" s="11"/>
      <c r="Y103" s="11"/>
      <c r="Z103" s="11"/>
      <c r="AA103" s="11"/>
      <c r="AB103" s="11"/>
    </row>
    <row r="104" spans="1:28">
      <c r="A104" t="s">
        <v>13</v>
      </c>
      <c r="B104">
        <v>0.99819999999999998</v>
      </c>
      <c r="C104" t="s">
        <v>60</v>
      </c>
      <c r="U104" s="11"/>
      <c r="V104" s="11"/>
      <c r="W104" s="11"/>
      <c r="X104" s="11"/>
      <c r="Y104" s="11"/>
      <c r="Z104" s="11"/>
      <c r="AA104" s="11"/>
      <c r="AB104" s="11"/>
    </row>
    <row r="106" spans="1:28">
      <c r="A106" t="s">
        <v>5</v>
      </c>
      <c r="B106" t="s">
        <v>61</v>
      </c>
      <c r="C106" t="s">
        <v>62</v>
      </c>
      <c r="D106" t="s">
        <v>4</v>
      </c>
      <c r="E106" t="s">
        <v>63</v>
      </c>
      <c r="F106" t="s">
        <v>64</v>
      </c>
      <c r="G106" t="s">
        <v>65</v>
      </c>
      <c r="H106" t="s">
        <v>66</v>
      </c>
      <c r="I106" t="s">
        <v>67</v>
      </c>
      <c r="K106" t="s">
        <v>69</v>
      </c>
      <c r="L106" t="s">
        <v>68</v>
      </c>
      <c r="M106" t="s">
        <v>70</v>
      </c>
      <c r="N106" t="s">
        <v>71</v>
      </c>
      <c r="O106" t="s">
        <v>66</v>
      </c>
    </row>
    <row r="107" spans="1:28">
      <c r="A107">
        <v>0</v>
      </c>
      <c r="B107">
        <f xml:space="preserve"> 0.000005873172*A107^4 + 0.001564162*A107^3 - 0.004653684*A107^2 + 1.952917*A107 + 1565</f>
        <v>1565</v>
      </c>
      <c r="C107">
        <f xml:space="preserve"> -0.0001094881*A107^4 + 0.005866919*A107^3 + 0.1376831*A107^2 + 0.7741483*A107 + 1570</f>
        <v>1570</v>
      </c>
      <c r="D107">
        <f>((B107-C107)/(150-100))*($B$95-100)+C107</f>
        <v>1568.9956331877729</v>
      </c>
      <c r="E107">
        <f>A107*PI()*($B$93/12/2)^2/0.00223</f>
        <v>0</v>
      </c>
      <c r="F107">
        <f>($B$94*$B$91/D107)^2</f>
        <v>257.96311456647658</v>
      </c>
      <c r="G107">
        <f>$B$94*E107^0.5/F107^(3/4)</f>
        <v>0</v>
      </c>
      <c r="H107">
        <f>0.00000000714842*G107^3 - 0.0000584345*G107^2 + 0.1267468*G107- 4.093793</f>
        <v>-4.0937929999999998</v>
      </c>
      <c r="I107">
        <v>800</v>
      </c>
      <c r="K107">
        <f>E107*0.0000630902</f>
        <v>0</v>
      </c>
      <c r="L107" s="3">
        <f>B107*0.3048</f>
        <v>477.012</v>
      </c>
      <c r="M107">
        <f>F107*0.3048</f>
        <v>78.627157319862064</v>
      </c>
      <c r="N107">
        <f>+I107*0.7457</f>
        <v>596.56000000000006</v>
      </c>
      <c r="O107" s="12">
        <f>$D$42*K107*M107/N107</f>
        <v>0</v>
      </c>
    </row>
    <row r="108" spans="1:28">
      <c r="A108">
        <v>2</v>
      </c>
      <c r="B108">
        <f t="shared" ref="B108:B124" si="29" xml:space="preserve"> 0.000005873172*A108^4 + 0.001564162*A108^3 - 0.004653684*A108^2 + 1.952917*A108 + 1565</f>
        <v>1568.8998265307521</v>
      </c>
      <c r="C108">
        <f t="shared" ref="C108:C124" si="30" xml:space="preserve"> -0.0001094881*A108^4 + 0.005866919*A108^3 + 0.1376831*A108^2 + 0.7741483*A108 + 1570</f>
        <v>1572.1442125424001</v>
      </c>
      <c r="D108">
        <f t="shared" ref="D108:D124" si="31">((B108-C108)/(150-100))*($B$95-100)+C108</f>
        <v>1571.4925018151694</v>
      </c>
      <c r="E108">
        <f t="shared" ref="E108:E124" si="32">A108*PI()*($B$93/12/2)^2/0.00223</f>
        <v>1895.5057112687173</v>
      </c>
      <c r="F108">
        <f t="shared" ref="F108:F124" si="33">($B$94*$B$91/D108)^2</f>
        <v>257.14403548423144</v>
      </c>
      <c r="G108">
        <f t="shared" ref="G108:G124" si="34">$B$94*E108^0.5/F108^(3/4)</f>
        <v>305.10036066148109</v>
      </c>
      <c r="H108">
        <f t="shared" ref="H108:H124" si="35">0.00000000714842*G108^3 - 0.0000584345*G108^2 + 0.1267468*G108- 4.093793</f>
        <v>29.340273801247776</v>
      </c>
      <c r="I108" s="14">
        <f>F108*E108/(3960*H108/100)</f>
        <v>419.50989042669437</v>
      </c>
      <c r="K108">
        <f t="shared" ref="K108:K124" si="36">E108*0.0000630902</f>
        <v>0.11958783442508561</v>
      </c>
      <c r="L108" s="3">
        <f t="shared" ref="L108:L124" si="37">B108*0.3048</f>
        <v>478.20066712657325</v>
      </c>
      <c r="M108">
        <f t="shared" ref="M108:M124" si="38">F108*0.3048</f>
        <v>78.377502015593748</v>
      </c>
      <c r="N108">
        <f t="shared" ref="N108:N124" si="39">+I108*0.7457</f>
        <v>312.828525291186</v>
      </c>
      <c r="O108" s="12">
        <f>$D$103*K108*M108/N108</f>
        <v>0.29392808108511542</v>
      </c>
    </row>
    <row r="109" spans="1:28">
      <c r="A109">
        <v>4</v>
      </c>
      <c r="B109">
        <f t="shared" si="29"/>
        <v>1572.8388189560319</v>
      </c>
      <c r="C109">
        <f t="shared" si="30"/>
        <v>1575.6469766624</v>
      </c>
      <c r="D109">
        <f t="shared" si="31"/>
        <v>1575.0828925816447</v>
      </c>
      <c r="E109">
        <f t="shared" si="32"/>
        <v>3791.0114225374346</v>
      </c>
      <c r="F109">
        <f t="shared" si="33"/>
        <v>255.97305545935305</v>
      </c>
      <c r="G109">
        <f t="shared" si="34"/>
        <v>432.95660645125668</v>
      </c>
      <c r="H109">
        <f t="shared" si="35"/>
        <v>40.408595068868316</v>
      </c>
      <c r="I109" s="14">
        <f t="shared" ref="I109:I124" si="40">F109*E109/(3960*H109/100)</f>
        <v>606.42962412156498</v>
      </c>
      <c r="K109">
        <f t="shared" si="36"/>
        <v>0.23917566885017122</v>
      </c>
      <c r="L109" s="3">
        <f t="shared" si="37"/>
        <v>479.40127201779853</v>
      </c>
      <c r="M109">
        <f t="shared" si="38"/>
        <v>78.020587304010817</v>
      </c>
      <c r="N109">
        <f t="shared" si="39"/>
        <v>452.214570707451</v>
      </c>
      <c r="O109" s="12">
        <f t="shared" ref="O109:O124" si="41">$D$103*K109*M109/N109</f>
        <v>0.40480947411720497</v>
      </c>
    </row>
    <row r="110" spans="1:28">
      <c r="A110">
        <v>6</v>
      </c>
      <c r="B110">
        <f t="shared" si="29"/>
        <v>1576.895439998912</v>
      </c>
      <c r="C110">
        <f t="shared" si="30"/>
        <v>1580.7268393264001</v>
      </c>
      <c r="D110">
        <f t="shared" si="31"/>
        <v>1579.9572132606165</v>
      </c>
      <c r="E110">
        <f t="shared" si="32"/>
        <v>5686.5171338061518</v>
      </c>
      <c r="F110">
        <f t="shared" si="33"/>
        <v>254.39608854204462</v>
      </c>
      <c r="G110">
        <f t="shared" si="34"/>
        <v>532.72474187666251</v>
      </c>
      <c r="H110">
        <f t="shared" si="35"/>
        <v>47.924639993738204</v>
      </c>
      <c r="I110" s="14">
        <f t="shared" si="40"/>
        <v>762.25930838131933</v>
      </c>
      <c r="K110">
        <f t="shared" si="36"/>
        <v>0.35876350327525686</v>
      </c>
      <c r="L110" s="3">
        <f t="shared" si="37"/>
        <v>480.63773011166842</v>
      </c>
      <c r="M110">
        <f t="shared" si="38"/>
        <v>77.539927787615198</v>
      </c>
      <c r="N110">
        <f t="shared" si="39"/>
        <v>568.4167662599499</v>
      </c>
      <c r="O110" s="12">
        <f t="shared" si="41"/>
        <v>0.48010449955158163</v>
      </c>
    </row>
    <row r="111" spans="1:28">
      <c r="A111">
        <v>8</v>
      </c>
      <c r="B111">
        <f t="shared" si="29"/>
        <v>1581.150407680512</v>
      </c>
      <c r="C111">
        <f t="shared" si="30"/>
        <v>1587.5603040704</v>
      </c>
      <c r="D111">
        <f t="shared" si="31"/>
        <v>1586.2727266296365</v>
      </c>
      <c r="E111">
        <f t="shared" si="32"/>
        <v>7582.0228450748691</v>
      </c>
      <c r="F111">
        <f t="shared" si="33"/>
        <v>252.37443921760092</v>
      </c>
      <c r="G111">
        <f t="shared" si="34"/>
        <v>618.82953459150701</v>
      </c>
      <c r="H111">
        <f t="shared" si="35"/>
        <v>53.657416942198459</v>
      </c>
      <c r="I111" s="14">
        <f t="shared" si="40"/>
        <v>900.54518329359507</v>
      </c>
      <c r="K111">
        <f t="shared" si="36"/>
        <v>0.47835133770034244</v>
      </c>
      <c r="L111" s="3">
        <f t="shared" si="37"/>
        <v>481.93464426102008</v>
      </c>
      <c r="M111">
        <f t="shared" si="38"/>
        <v>76.923729073524768</v>
      </c>
      <c r="N111">
        <f t="shared" si="39"/>
        <v>671.53654318203382</v>
      </c>
      <c r="O111" s="12">
        <f t="shared" si="41"/>
        <v>0.5375349154762703</v>
      </c>
    </row>
    <row r="112" spans="1:28">
      <c r="A112">
        <v>10</v>
      </c>
      <c r="B112">
        <f t="shared" si="29"/>
        <v>1585.6866953199999</v>
      </c>
      <c r="C112">
        <f t="shared" si="30"/>
        <v>1596.281831</v>
      </c>
      <c r="D112">
        <f t="shared" si="31"/>
        <v>1594.1535504703929</v>
      </c>
      <c r="E112">
        <f t="shared" si="32"/>
        <v>9477.5285563435864</v>
      </c>
      <c r="F112">
        <f t="shared" si="33"/>
        <v>249.88534108894373</v>
      </c>
      <c r="G112">
        <f t="shared" si="34"/>
        <v>697.03482959147436</v>
      </c>
      <c r="H112">
        <f t="shared" si="35"/>
        <v>58.283179242915558</v>
      </c>
      <c r="I112" s="14">
        <f t="shared" si="40"/>
        <v>1026.1183687041027</v>
      </c>
      <c r="K112">
        <f t="shared" si="36"/>
        <v>0.59793917212542813</v>
      </c>
      <c r="L112" s="3">
        <f t="shared" si="37"/>
        <v>483.31730473353599</v>
      </c>
      <c r="M112">
        <f t="shared" si="38"/>
        <v>76.165051963910059</v>
      </c>
      <c r="N112">
        <f t="shared" si="39"/>
        <v>765.17646754264945</v>
      </c>
      <c r="O112" s="12">
        <f t="shared" si="41"/>
        <v>0.58387536361986692</v>
      </c>
    </row>
    <row r="113" spans="1:15">
      <c r="A113">
        <v>12</v>
      </c>
      <c r="B113">
        <f t="shared" si="29"/>
        <v>1590.589531534592</v>
      </c>
      <c r="C113">
        <f t="shared" si="30"/>
        <v>1606.9838367903999</v>
      </c>
      <c r="D113">
        <f t="shared" si="31"/>
        <v>1603.6906575687092</v>
      </c>
      <c r="E113">
        <f t="shared" si="32"/>
        <v>11373.034267612304</v>
      </c>
      <c r="F113">
        <f t="shared" si="33"/>
        <v>246.9220552653714</v>
      </c>
      <c r="G113">
        <f t="shared" si="34"/>
        <v>770.42572414664392</v>
      </c>
      <c r="H113">
        <f t="shared" si="35"/>
        <v>62.139971645857379</v>
      </c>
      <c r="I113" s="14">
        <f t="shared" si="40"/>
        <v>1141.2216294557325</v>
      </c>
      <c r="K113">
        <f t="shared" si="36"/>
        <v>0.71752700655051371</v>
      </c>
      <c r="L113" s="3">
        <f t="shared" si="37"/>
        <v>484.81168921174367</v>
      </c>
      <c r="M113">
        <f t="shared" si="38"/>
        <v>75.261842444885204</v>
      </c>
      <c r="N113">
        <f t="shared" si="39"/>
        <v>851.00896908513971</v>
      </c>
      <c r="O113" s="12">
        <f t="shared" si="41"/>
        <v>0.62251234423632362</v>
      </c>
    </row>
    <row r="114" spans="1:15">
      <c r="A114">
        <v>14</v>
      </c>
      <c r="B114">
        <f t="shared" si="29"/>
        <v>1595.9464002395521</v>
      </c>
      <c r="C114">
        <f t="shared" si="30"/>
        <v>1619.7166946863999</v>
      </c>
      <c r="D114">
        <f t="shared" si="31"/>
        <v>1614.941875714544</v>
      </c>
      <c r="E114">
        <f t="shared" si="32"/>
        <v>13268.539978881019</v>
      </c>
      <c r="F114">
        <f t="shared" si="33"/>
        <v>243.49345358988347</v>
      </c>
      <c r="G114">
        <f t="shared" si="34"/>
        <v>840.92761672163067</v>
      </c>
      <c r="H114">
        <f t="shared" si="35"/>
        <v>65.419542995237833</v>
      </c>
      <c r="I114" s="14">
        <f t="shared" si="40"/>
        <v>1247.1185383111047</v>
      </c>
      <c r="K114">
        <f t="shared" si="36"/>
        <v>0.83711484097559918</v>
      </c>
      <c r="L114" s="3">
        <f t="shared" si="37"/>
        <v>486.44446279301548</v>
      </c>
      <c r="M114">
        <f t="shared" si="38"/>
        <v>74.21680465419648</v>
      </c>
      <c r="N114">
        <f t="shared" si="39"/>
        <v>929.97629401859081</v>
      </c>
      <c r="O114" s="12">
        <f t="shared" si="41"/>
        <v>0.6553667790665848</v>
      </c>
    </row>
    <row r="115" spans="1:15">
      <c r="A115">
        <v>16</v>
      </c>
      <c r="B115">
        <f t="shared" si="29"/>
        <v>1601.847040648192</v>
      </c>
      <c r="C115">
        <f t="shared" si="30"/>
        <v>1634.4887345023999</v>
      </c>
      <c r="D115">
        <f t="shared" si="31"/>
        <v>1627.9318877019914</v>
      </c>
      <c r="E115">
        <f t="shared" si="32"/>
        <v>15164.045690149738</v>
      </c>
      <c r="F115">
        <f t="shared" si="33"/>
        <v>239.62306630605897</v>
      </c>
      <c r="G115">
        <f t="shared" si="34"/>
        <v>909.85794130079478</v>
      </c>
      <c r="H115">
        <f t="shared" si="35"/>
        <v>68.237606546890888</v>
      </c>
      <c r="I115" s="14">
        <f t="shared" si="40"/>
        <v>1344.6979234561752</v>
      </c>
      <c r="K115">
        <f t="shared" si="36"/>
        <v>0.95670267540068488</v>
      </c>
      <c r="L115" s="3">
        <f t="shared" si="37"/>
        <v>488.24297798956894</v>
      </c>
      <c r="M115">
        <f t="shared" si="38"/>
        <v>73.037110610086785</v>
      </c>
      <c r="N115">
        <f t="shared" si="39"/>
        <v>1002.7412415212699</v>
      </c>
      <c r="O115" s="12">
        <f t="shared" si="41"/>
        <v>0.68359787253641013</v>
      </c>
    </row>
    <row r="116" spans="1:15">
      <c r="A116">
        <v>18</v>
      </c>
      <c r="B116">
        <f t="shared" si="29"/>
        <v>1608.383447271872</v>
      </c>
      <c r="C116">
        <f t="shared" si="30"/>
        <v>1651.2662426224001</v>
      </c>
      <c r="D116">
        <f t="shared" si="31"/>
        <v>1642.652231329281</v>
      </c>
      <c r="E116">
        <f t="shared" si="32"/>
        <v>17059.551401418455</v>
      </c>
      <c r="F116">
        <f t="shared" si="33"/>
        <v>235.34762806770442</v>
      </c>
      <c r="G116">
        <f t="shared" si="34"/>
        <v>978.16911893689633</v>
      </c>
      <c r="H116">
        <f t="shared" si="35"/>
        <v>70.665414023607411</v>
      </c>
      <c r="I116" s="14">
        <f t="shared" si="40"/>
        <v>1434.7470441572368</v>
      </c>
      <c r="K116">
        <f t="shared" si="36"/>
        <v>1.0762905098257705</v>
      </c>
      <c r="L116" s="3">
        <f t="shared" si="37"/>
        <v>490.23527472846661</v>
      </c>
      <c r="M116">
        <f t="shared" si="38"/>
        <v>71.733957035036312</v>
      </c>
      <c r="N116">
        <f t="shared" si="39"/>
        <v>1069.8908708280514</v>
      </c>
      <c r="O116" s="12">
        <f t="shared" si="41"/>
        <v>0.70791941764908839</v>
      </c>
    </row>
    <row r="117" spans="1:15">
      <c r="A117">
        <v>20</v>
      </c>
      <c r="B117">
        <f t="shared" si="29"/>
        <v>1615.6498699199999</v>
      </c>
      <c r="C117">
        <f t="shared" si="30"/>
        <v>1669.9734619999999</v>
      </c>
      <c r="D117">
        <f t="shared" si="31"/>
        <v>1659.0612993987772</v>
      </c>
      <c r="E117">
        <f t="shared" si="32"/>
        <v>18955.057112687173</v>
      </c>
      <c r="F117">
        <f t="shared" si="33"/>
        <v>230.71520445893353</v>
      </c>
      <c r="G117">
        <f t="shared" si="34"/>
        <v>1046.5690815445705</v>
      </c>
      <c r="H117">
        <f t="shared" si="35"/>
        <v>72.746117277468528</v>
      </c>
      <c r="I117" s="14">
        <f t="shared" si="40"/>
        <v>1518.0857689593006</v>
      </c>
      <c r="K117">
        <f t="shared" si="36"/>
        <v>1.1958783442508563</v>
      </c>
      <c r="L117" s="3">
        <f t="shared" si="37"/>
        <v>492.45008035161601</v>
      </c>
      <c r="M117">
        <f t="shared" si="38"/>
        <v>70.321994319082947</v>
      </c>
      <c r="N117">
        <f t="shared" si="39"/>
        <v>1132.0365579129505</v>
      </c>
      <c r="O117" s="12">
        <f t="shared" si="41"/>
        <v>0.72876370556738823</v>
      </c>
    </row>
    <row r="118" spans="1:15">
      <c r="A118">
        <v>22</v>
      </c>
      <c r="B118">
        <f t="shared" si="29"/>
        <v>1623.742813700032</v>
      </c>
      <c r="C118">
        <f t="shared" si="30"/>
        <v>1690.4925921583999</v>
      </c>
      <c r="D118">
        <f t="shared" si="31"/>
        <v>1677.084339716981</v>
      </c>
      <c r="E118">
        <f t="shared" si="32"/>
        <v>20850.562823955886</v>
      </c>
      <c r="F118">
        <f t="shared" si="33"/>
        <v>225.78301824926399</v>
      </c>
      <c r="G118">
        <f t="shared" si="34"/>
        <v>1115.5857271471168</v>
      </c>
      <c r="H118">
        <f t="shared" si="35"/>
        <v>74.504286009940913</v>
      </c>
      <c r="I118" s="14">
        <f t="shared" si="40"/>
        <v>1595.6315458067349</v>
      </c>
      <c r="K118">
        <f t="shared" si="36"/>
        <v>1.3154661786759416</v>
      </c>
      <c r="L118" s="3">
        <f t="shared" si="37"/>
        <v>494.91680961576981</v>
      </c>
      <c r="M118">
        <f t="shared" si="38"/>
        <v>68.818663962375666</v>
      </c>
      <c r="N118">
        <f t="shared" si="39"/>
        <v>1189.8624437080823</v>
      </c>
      <c r="O118" s="12">
        <f t="shared" si="41"/>
        <v>0.74637687323106128</v>
      </c>
    </row>
    <row r="119" spans="1:15">
      <c r="A119">
        <v>24</v>
      </c>
      <c r="B119">
        <f t="shared" si="29"/>
        <v>1632.7610390174721</v>
      </c>
      <c r="C119">
        <f t="shared" si="30"/>
        <v>1712.6637891903999</v>
      </c>
      <c r="D119">
        <f t="shared" si="31"/>
        <v>1696.613455094528</v>
      </c>
      <c r="E119">
        <f t="shared" si="32"/>
        <v>22746.068535224607</v>
      </c>
      <c r="F119">
        <f t="shared" si="33"/>
        <v>220.61511696743671</v>
      </c>
      <c r="G119">
        <f t="shared" si="34"/>
        <v>1185.6028499773186</v>
      </c>
      <c r="H119">
        <f t="shared" si="35"/>
        <v>75.952060436356774</v>
      </c>
      <c r="I119" s="14">
        <f t="shared" si="40"/>
        <v>1668.4256781524414</v>
      </c>
      <c r="K119">
        <f t="shared" si="36"/>
        <v>1.4350540131010274</v>
      </c>
      <c r="L119" s="3">
        <f t="shared" si="37"/>
        <v>497.66556469252549</v>
      </c>
      <c r="M119">
        <f t="shared" si="38"/>
        <v>67.243487651674712</v>
      </c>
      <c r="N119">
        <f t="shared" si="39"/>
        <v>1244.1450281982757</v>
      </c>
      <c r="O119" s="12">
        <f t="shared" si="41"/>
        <v>0.76088054016624906</v>
      </c>
    </row>
    <row r="120" spans="1:15">
      <c r="A120">
        <v>26</v>
      </c>
      <c r="B120">
        <f t="shared" si="29"/>
        <v>1642.8055615758719</v>
      </c>
      <c r="C120">
        <f t="shared" si="30"/>
        <v>1736.2851657583999</v>
      </c>
      <c r="D120">
        <f t="shared" si="31"/>
        <v>1717.5076033461889</v>
      </c>
      <c r="E120">
        <f t="shared" si="32"/>
        <v>24641.574246493325</v>
      </c>
      <c r="F120">
        <f t="shared" si="33"/>
        <v>215.28002980285012</v>
      </c>
      <c r="G120">
        <f t="shared" si="34"/>
        <v>1256.8803308398706</v>
      </c>
      <c r="H120">
        <f t="shared" si="35"/>
        <v>77.093549474550557</v>
      </c>
      <c r="I120" s="14">
        <f t="shared" si="40"/>
        <v>1737.6366457973668</v>
      </c>
      <c r="K120">
        <f t="shared" si="36"/>
        <v>1.554641847526113</v>
      </c>
      <c r="L120" s="3">
        <f t="shared" si="37"/>
        <v>500.72713516832579</v>
      </c>
      <c r="M120">
        <f t="shared" si="38"/>
        <v>65.617353083908725</v>
      </c>
      <c r="N120">
        <f t="shared" si="39"/>
        <v>1295.7556467710965</v>
      </c>
      <c r="O120" s="12">
        <f t="shared" si="41"/>
        <v>0.77231586912223626</v>
      </c>
    </row>
    <row r="121" spans="1:15">
      <c r="A121">
        <v>28</v>
      </c>
      <c r="B121">
        <f t="shared" si="29"/>
        <v>1653.9796523768321</v>
      </c>
      <c r="C121">
        <f t="shared" si="30"/>
        <v>1761.1127910944001</v>
      </c>
      <c r="D121">
        <f t="shared" si="31"/>
        <v>1739.5925972908713</v>
      </c>
      <c r="E121">
        <f t="shared" si="32"/>
        <v>26537.079957762038</v>
      </c>
      <c r="F121">
        <f t="shared" si="33"/>
        <v>209.84855342670591</v>
      </c>
      <c r="G121">
        <f t="shared" si="34"/>
        <v>1329.5650654708866</v>
      </c>
      <c r="H121">
        <f t="shared" si="35"/>
        <v>77.92827446538405</v>
      </c>
      <c r="I121" s="14">
        <f t="shared" si="40"/>
        <v>1804.5497799450975</v>
      </c>
      <c r="K121">
        <f t="shared" si="36"/>
        <v>1.6742296819511984</v>
      </c>
      <c r="L121" s="3">
        <f t="shared" si="37"/>
        <v>504.13299804445842</v>
      </c>
      <c r="M121">
        <f t="shared" si="38"/>
        <v>63.96183908445996</v>
      </c>
      <c r="N121">
        <f t="shared" si="39"/>
        <v>1345.6527709050592</v>
      </c>
      <c r="O121" s="12">
        <f t="shared" si="41"/>
        <v>0.78067806493715863</v>
      </c>
    </row>
    <row r="122" spans="1:15">
      <c r="A122">
        <v>30</v>
      </c>
      <c r="B122">
        <f t="shared" si="29"/>
        <v>1666.3888377200001</v>
      </c>
      <c r="C122">
        <f t="shared" si="30"/>
        <v>1786.8606909999999</v>
      </c>
      <c r="D122">
        <f t="shared" si="31"/>
        <v>1762.6611047516155</v>
      </c>
      <c r="E122">
        <f t="shared" si="32"/>
        <v>28432.585669030756</v>
      </c>
      <c r="F122">
        <f t="shared" si="33"/>
        <v>204.39178609530126</v>
      </c>
      <c r="G122">
        <f t="shared" si="34"/>
        <v>1403.6961633083922</v>
      </c>
      <c r="H122">
        <f t="shared" si="35"/>
        <v>78.454066655756975</v>
      </c>
      <c r="I122" s="14">
        <f t="shared" si="40"/>
        <v>1870.5492579576783</v>
      </c>
      <c r="K122">
        <f t="shared" si="36"/>
        <v>1.7938175163762839</v>
      </c>
      <c r="L122" s="3">
        <f t="shared" si="37"/>
        <v>507.91531773705606</v>
      </c>
      <c r="M122">
        <f t="shared" si="38"/>
        <v>62.298616401847823</v>
      </c>
      <c r="N122">
        <f t="shared" si="39"/>
        <v>1394.8685816590407</v>
      </c>
      <c r="O122" s="12">
        <f t="shared" si="41"/>
        <v>0.78594540124808576</v>
      </c>
    </row>
    <row r="123" spans="1:15">
      <c r="A123">
        <v>32</v>
      </c>
      <c r="B123">
        <f t="shared" si="29"/>
        <v>1680.140899203072</v>
      </c>
      <c r="C123">
        <f t="shared" si="30"/>
        <v>1813.2008478463999</v>
      </c>
      <c r="D123">
        <f t="shared" si="31"/>
        <v>1786.4726485556005</v>
      </c>
      <c r="E123">
        <f t="shared" si="32"/>
        <v>30328.091380299476</v>
      </c>
      <c r="F123">
        <f t="shared" si="33"/>
        <v>198.97950161345844</v>
      </c>
      <c r="G123">
        <f t="shared" si="34"/>
        <v>1479.2064766651974</v>
      </c>
      <c r="H123">
        <f t="shared" si="35"/>
        <v>78.669617539302635</v>
      </c>
      <c r="I123" s="14">
        <f t="shared" si="40"/>
        <v>1937.0962215009556</v>
      </c>
      <c r="K123">
        <f t="shared" si="36"/>
        <v>1.9134053508013698</v>
      </c>
      <c r="L123" s="3">
        <f t="shared" si="37"/>
        <v>512.10694607709638</v>
      </c>
      <c r="M123">
        <f t="shared" si="38"/>
        <v>60.648952091782135</v>
      </c>
      <c r="N123">
        <f t="shared" si="39"/>
        <v>1444.4926523732627</v>
      </c>
      <c r="O123" s="12">
        <f t="shared" si="41"/>
        <v>0.7881047695622998</v>
      </c>
    </row>
    <row r="124" spans="1:15">
      <c r="A124">
        <v>36</v>
      </c>
      <c r="B124">
        <f t="shared" si="29"/>
        <v>1712.116053469952</v>
      </c>
      <c r="C124">
        <f t="shared" si="30"/>
        <v>1866.1356446944001</v>
      </c>
      <c r="D124">
        <f t="shared" si="31"/>
        <v>1835.197211522677</v>
      </c>
      <c r="E124">
        <f t="shared" si="32"/>
        <v>34119.102802836911</v>
      </c>
      <c r="F124">
        <f t="shared" si="33"/>
        <v>188.55393497168834</v>
      </c>
      <c r="G124">
        <f t="shared" si="34"/>
        <v>1633.5582105345993</v>
      </c>
      <c r="H124">
        <f t="shared" si="35"/>
        <v>78.182474137693688</v>
      </c>
      <c r="I124" s="14">
        <f t="shared" si="40"/>
        <v>2077.9189649423665</v>
      </c>
      <c r="K124">
        <f t="shared" si="36"/>
        <v>2.1525810196515409</v>
      </c>
      <c r="L124" s="3">
        <f t="shared" si="37"/>
        <v>521.85297309764144</v>
      </c>
      <c r="M124">
        <f t="shared" si="38"/>
        <v>57.471239379370608</v>
      </c>
      <c r="N124">
        <f t="shared" si="39"/>
        <v>1549.5041721575228</v>
      </c>
      <c r="O124" s="12">
        <f t="shared" si="41"/>
        <v>0.78322461315278091</v>
      </c>
    </row>
    <row r="125" spans="1:15">
      <c r="L125" s="3"/>
      <c r="O125" s="12"/>
    </row>
    <row r="126" spans="1:15">
      <c r="A126">
        <f>A66</f>
        <v>5.4970629948544047</v>
      </c>
      <c r="B126" t="s">
        <v>72</v>
      </c>
      <c r="C126">
        <v>0.6</v>
      </c>
      <c r="D126" t="s">
        <v>73</v>
      </c>
      <c r="L126" s="3">
        <f>A126*PI()*(C126/2)^2</f>
        <v>1.5542579448859415</v>
      </c>
    </row>
    <row r="127" spans="1:15">
      <c r="A127">
        <f>A126*(C126^2/D92^2)/0.3048</f>
        <v>18.034983578918649</v>
      </c>
      <c r="B127">
        <f t="shared" ref="B127" si="42" xml:space="preserve"> 0.000005873172*A127^4 + 0.001564162*A127^3 - 0.004653684*A127^2 + 1.952917*A127 + 1565</f>
        <v>1608.5039990450855</v>
      </c>
      <c r="C127">
        <f t="shared" ref="C127" si="43" xml:space="preserve"> -0.0001094881*A127^4 + 0.005866919*A127^3 + 0.1376831*A127^2 + 0.7741483*A127 + 1570</f>
        <v>1651.5771661118906</v>
      </c>
      <c r="D127">
        <f t="shared" ref="D127" si="44">((B127-C127)/(150-100))*($B$95-100)+C127</f>
        <v>1642.9249142120084</v>
      </c>
      <c r="E127">
        <f t="shared" ref="E127" si="45">A127*PI()*($B$93/12/2)^2/0.00223</f>
        <v>17092.707188238914</v>
      </c>
      <c r="F127">
        <f t="shared" ref="F127" si="46">($B$94*$B$91/D127)^2</f>
        <v>235.26951135841946</v>
      </c>
      <c r="G127">
        <f t="shared" ref="G127" si="47">$B$94*E127^0.5/F127^(3/4)</f>
        <v>979.36302223598102</v>
      </c>
      <c r="H127">
        <f t="shared" ref="H127" si="48">0.00000000714842*G127^3 - 0.0000584345*G127^2 + 0.1267468*G127- 4.093793</f>
        <v>70.704697723011066</v>
      </c>
      <c r="I127">
        <f t="shared" ref="I127" si="49">F127*E127/(3960*H127/100)</f>
        <v>1436.2599405566118</v>
      </c>
      <c r="K127">
        <f t="shared" ref="K127" si="50">E127*0.0000630902</f>
        <v>1.0783823150474305</v>
      </c>
      <c r="L127" s="3">
        <f t="shared" ref="L127" si="51">B127*0.3048</f>
        <v>490.27201890894207</v>
      </c>
      <c r="M127">
        <f t="shared" ref="M127" si="52">F127*0.3048</f>
        <v>71.710147062046261</v>
      </c>
      <c r="N127">
        <f t="shared" ref="N127" si="53">+I127*0.7457</f>
        <v>1071.0190376730654</v>
      </c>
      <c r="O127" s="12">
        <f t="shared" ref="O127" si="54">$D$103*K127*M127/N127</f>
        <v>0.70831295802508687</v>
      </c>
    </row>
    <row r="128" spans="1:15">
      <c r="M128">
        <f>(M127+'[1]UWP Example'!M100)*1.309</f>
        <v>93.868582504218551</v>
      </c>
    </row>
    <row r="130" spans="13:14">
      <c r="M130" t="str">
        <f>TEXT(K107,"0.0000000")&amp;": "&amp;TEXT(M107,"0.000000")&amp;","</f>
        <v>0.0000000: 78.627157,</v>
      </c>
      <c r="N130" t="str">
        <f>TEXT(K107,"0.000000")&amp;": "&amp;TEXT(N107,"0.000000")&amp;","</f>
        <v>0.000000: 596.560000,</v>
      </c>
    </row>
    <row r="131" spans="13:14">
      <c r="M131" t="str">
        <f t="shared" ref="M131:M147" si="55">TEXT(K108,"0.0000000")&amp;": "&amp;TEXT(M108,"0.000000")&amp;","</f>
        <v>0.1195878: 78.377502,</v>
      </c>
      <c r="N131" t="str">
        <f t="shared" ref="N131:N147" si="56">TEXT(K108,"0.000000")&amp;": "&amp;TEXT(N108,"0.000000")&amp;","</f>
        <v>0.119588: 312.828525,</v>
      </c>
    </row>
    <row r="132" spans="13:14">
      <c r="M132" t="str">
        <f t="shared" si="55"/>
        <v>0.2391757: 78.020587,</v>
      </c>
      <c r="N132" t="str">
        <f t="shared" si="56"/>
        <v>0.239176: 452.214571,</v>
      </c>
    </row>
    <row r="133" spans="13:14">
      <c r="M133" t="str">
        <f t="shared" si="55"/>
        <v>0.3587635: 77.539928,</v>
      </c>
      <c r="N133" t="str">
        <f t="shared" si="56"/>
        <v>0.358764: 568.416766,</v>
      </c>
    </row>
    <row r="134" spans="13:14">
      <c r="M134" t="str">
        <f t="shared" si="55"/>
        <v>0.4783513: 76.923729,</v>
      </c>
      <c r="N134" t="str">
        <f t="shared" si="56"/>
        <v>0.478351: 671.536543,</v>
      </c>
    </row>
    <row r="135" spans="13:14">
      <c r="M135" t="str">
        <f t="shared" si="55"/>
        <v>0.5979392: 76.165052,</v>
      </c>
      <c r="N135" t="str">
        <f t="shared" si="56"/>
        <v>0.597939: 765.176468,</v>
      </c>
    </row>
    <row r="136" spans="13:14">
      <c r="M136" t="str">
        <f t="shared" si="55"/>
        <v>0.7175270: 75.261842,</v>
      </c>
      <c r="N136" t="str">
        <f t="shared" si="56"/>
        <v>0.717527: 851.008969,</v>
      </c>
    </row>
    <row r="137" spans="13:14">
      <c r="M137" t="str">
        <f t="shared" si="55"/>
        <v>0.8371148: 74.216805,</v>
      </c>
      <c r="N137" t="str">
        <f t="shared" si="56"/>
        <v>0.837115: 929.976294,</v>
      </c>
    </row>
    <row r="138" spans="13:14">
      <c r="M138" t="str">
        <f t="shared" si="55"/>
        <v>0.9567027: 73.037111,</v>
      </c>
      <c r="N138" t="str">
        <f t="shared" si="56"/>
        <v>0.956703: 1002.741242,</v>
      </c>
    </row>
    <row r="139" spans="13:14">
      <c r="M139" t="str">
        <f t="shared" si="55"/>
        <v>1.0762905: 71.733957,</v>
      </c>
      <c r="N139" t="str">
        <f t="shared" si="56"/>
        <v>1.076291: 1069.890871,</v>
      </c>
    </row>
    <row r="140" spans="13:14">
      <c r="M140" t="str">
        <f t="shared" si="55"/>
        <v>1.1958783: 70.321994,</v>
      </c>
      <c r="N140" t="str">
        <f t="shared" si="56"/>
        <v>1.195878: 1132.036558,</v>
      </c>
    </row>
    <row r="141" spans="13:14">
      <c r="M141" t="str">
        <f t="shared" si="55"/>
        <v>1.3154662: 68.818664,</v>
      </c>
      <c r="N141" t="str">
        <f t="shared" si="56"/>
        <v>1.315466: 1189.862444,</v>
      </c>
    </row>
    <row r="142" spans="13:14">
      <c r="M142" t="str">
        <f t="shared" si="55"/>
        <v>1.4350540: 67.243488,</v>
      </c>
      <c r="N142" t="str">
        <f t="shared" si="56"/>
        <v>1.435054: 1244.145028,</v>
      </c>
    </row>
    <row r="143" spans="13:14">
      <c r="M143" t="str">
        <f t="shared" si="55"/>
        <v>1.5546418: 65.617353,</v>
      </c>
      <c r="N143" t="str">
        <f t="shared" si="56"/>
        <v>1.554642: 1295.755647,</v>
      </c>
    </row>
    <row r="144" spans="13:14">
      <c r="M144" t="str">
        <f t="shared" si="55"/>
        <v>1.6742297: 63.961839,</v>
      </c>
      <c r="N144" t="str">
        <f t="shared" si="56"/>
        <v>1.674230: 1345.652771,</v>
      </c>
    </row>
    <row r="145" spans="13:14">
      <c r="M145" t="str">
        <f t="shared" si="55"/>
        <v>1.7938175: 62.298616,</v>
      </c>
      <c r="N145" t="str">
        <f t="shared" si="56"/>
        <v>1.793818: 1394.868582,</v>
      </c>
    </row>
    <row r="146" spans="13:14">
      <c r="M146" t="str">
        <f t="shared" si="55"/>
        <v>1.9134054: 60.648952,</v>
      </c>
      <c r="N146" t="str">
        <f t="shared" si="56"/>
        <v>1.913405: 1444.492652,</v>
      </c>
    </row>
    <row r="147" spans="13:14">
      <c r="M147" t="str">
        <f t="shared" si="55"/>
        <v>2.1525810: 57.471239,</v>
      </c>
      <c r="N147" t="str">
        <f t="shared" si="56"/>
        <v>2.152581: 1549.504172,</v>
      </c>
    </row>
  </sheetData>
  <conditionalFormatting sqref="I48:I65">
    <cfRule type="cellIs" dxfId="7" priority="11" operator="greaterThan">
      <formula>$B$38/$B$39</formula>
    </cfRule>
  </conditionalFormatting>
  <conditionalFormatting sqref="I47">
    <cfRule type="cellIs" dxfId="6" priority="10" operator="greaterThan">
      <formula>$B$38/$B$39</formula>
    </cfRule>
  </conditionalFormatting>
  <conditionalFormatting sqref="I67:I68">
    <cfRule type="cellIs" dxfId="5" priority="9" operator="greaterThan">
      <formula>$B$38/$B$39</formula>
    </cfRule>
  </conditionalFormatting>
  <conditionalFormatting sqref="I125">
    <cfRule type="cellIs" dxfId="4" priority="7" operator="greaterThan">
      <formula>$B$37/$B$38</formula>
    </cfRule>
  </conditionalFormatting>
  <conditionalFormatting sqref="I5">
    <cfRule type="cellIs" dxfId="3" priority="4" operator="greaterThan">
      <formula>$B$16/$B$17</formula>
    </cfRule>
  </conditionalFormatting>
  <conditionalFormatting sqref="I11">
    <cfRule type="cellIs" dxfId="2" priority="3" operator="greaterThan">
      <formula>$B$16/$B$17</formula>
    </cfRule>
  </conditionalFormatting>
  <conditionalFormatting sqref="N5">
    <cfRule type="cellIs" dxfId="1" priority="2" operator="greaterThan">
      <formula>$B$16/$B$17</formula>
    </cfRule>
  </conditionalFormatting>
  <conditionalFormatting sqref="N11">
    <cfRule type="cellIs" dxfId="0" priority="1" operator="greaterThan">
      <formula>$B$16/$B$17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V31"/>
  <sheetViews>
    <sheetView workbookViewId="0">
      <selection activeCell="B2" sqref="B2"/>
    </sheetView>
  </sheetViews>
  <sheetFormatPr defaultRowHeight="12.5"/>
  <cols>
    <col min="2" max="2" width="10.36328125" bestFit="1" customWidth="1"/>
    <col min="15" max="15" width="11.36328125" bestFit="1" customWidth="1"/>
    <col min="16" max="16" width="10.36328125" customWidth="1"/>
    <col min="21" max="21" width="11.36328125" bestFit="1" customWidth="1"/>
  </cols>
  <sheetData>
    <row r="1" spans="1:22">
      <c r="A1" t="s">
        <v>5</v>
      </c>
      <c r="B1" s="6">
        <v>5.4970629948544047</v>
      </c>
      <c r="C1" t="s">
        <v>7</v>
      </c>
    </row>
    <row r="2" spans="1:22">
      <c r="A2" t="s">
        <v>6</v>
      </c>
      <c r="B2" s="4">
        <f>B1*PI()*(B11/2)^2</f>
        <v>1.5542579448859415</v>
      </c>
    </row>
    <row r="3" spans="1:22">
      <c r="A3" t="s">
        <v>12</v>
      </c>
      <c r="B3">
        <v>1.0248103</v>
      </c>
    </row>
    <row r="4" spans="1:22">
      <c r="A4" t="s">
        <v>13</v>
      </c>
      <c r="B4">
        <v>1.3092184974999901</v>
      </c>
    </row>
    <row r="6" spans="1:22">
      <c r="A6" t="s">
        <v>8</v>
      </c>
      <c r="B6" t="s">
        <v>9</v>
      </c>
      <c r="C6" t="s">
        <v>5</v>
      </c>
      <c r="D6" t="s">
        <v>0</v>
      </c>
      <c r="E6" t="s">
        <v>1</v>
      </c>
      <c r="F6" t="s">
        <v>24</v>
      </c>
      <c r="G6" t="s">
        <v>10</v>
      </c>
      <c r="H6" t="s">
        <v>11</v>
      </c>
      <c r="I6" t="s">
        <v>26</v>
      </c>
      <c r="J6" t="s">
        <v>14</v>
      </c>
      <c r="K6" t="s">
        <v>29</v>
      </c>
      <c r="L6" t="s">
        <v>27</v>
      </c>
      <c r="M6" t="s">
        <v>22</v>
      </c>
      <c r="N6" t="s">
        <v>28</v>
      </c>
      <c r="O6" t="s">
        <v>16</v>
      </c>
      <c r="P6" t="s">
        <v>30</v>
      </c>
      <c r="Q6" t="s">
        <v>29</v>
      </c>
      <c r="R6" t="s">
        <v>34</v>
      </c>
      <c r="S6" t="s">
        <v>35</v>
      </c>
      <c r="T6" t="s">
        <v>36</v>
      </c>
      <c r="U6" t="s">
        <v>15</v>
      </c>
      <c r="V6" t="s">
        <v>37</v>
      </c>
    </row>
    <row r="7" spans="1:22">
      <c r="A7" t="s">
        <v>23</v>
      </c>
      <c r="F7">
        <f>F15</f>
        <v>3.1946276116194054</v>
      </c>
      <c r="G7">
        <f>SUM(G11:G15)</f>
        <v>1055</v>
      </c>
      <c r="H7">
        <f>SUM(H11:H15)</f>
        <v>1.9</v>
      </c>
      <c r="J7">
        <f>J12</f>
        <v>1</v>
      </c>
      <c r="O7" s="9">
        <f>P15</f>
        <v>110.32719056599107</v>
      </c>
      <c r="P7" s="5"/>
      <c r="U7" s="8">
        <f>V15</f>
        <v>92.035610026120708</v>
      </c>
      <c r="V7" s="5"/>
    </row>
    <row r="8" spans="1:22">
      <c r="A8" t="s">
        <v>94</v>
      </c>
      <c r="O8" s="22">
        <f>O7-SUM(N11:N15)</f>
        <v>107.88033927849112</v>
      </c>
      <c r="P8" s="5"/>
      <c r="U8" s="22">
        <f>U7-SUM(T11:T15)</f>
        <v>91.010799726120709</v>
      </c>
      <c r="V8" s="5"/>
    </row>
    <row r="9" spans="1:22">
      <c r="A9" t="s">
        <v>17</v>
      </c>
      <c r="O9" s="8">
        <f>O7-SUM(M11:N15)</f>
        <v>101.23292989260709</v>
      </c>
      <c r="P9" s="5"/>
      <c r="U9" s="8">
        <f>U7-SUM(S11:T15)</f>
        <v>85.807440913226543</v>
      </c>
      <c r="V9" s="5"/>
    </row>
    <row r="11" spans="1:22">
      <c r="A11" t="s">
        <v>18</v>
      </c>
      <c r="B11">
        <v>0.6</v>
      </c>
      <c r="C11">
        <f>C12</f>
        <v>5.4970629948544047</v>
      </c>
      <c r="F11">
        <f>C11^2/(2*9.807)</f>
        <v>1.5406190256652228</v>
      </c>
      <c r="G11">
        <v>0</v>
      </c>
      <c r="H11">
        <v>0.5</v>
      </c>
      <c r="I11">
        <v>-4</v>
      </c>
      <c r="J11">
        <f>I11</f>
        <v>-4</v>
      </c>
      <c r="K11">
        <f>F11*$B$4</f>
        <v>2.0170069260013217</v>
      </c>
      <c r="L11">
        <f>G11*E11</f>
        <v>0</v>
      </c>
      <c r="M11">
        <f>F11*H11*$B$4</f>
        <v>1.0085034630006608</v>
      </c>
      <c r="N11">
        <f>I11*B3</f>
        <v>-4.0992411999999998</v>
      </c>
      <c r="O11" s="3">
        <f>SUM(K11:N11)</f>
        <v>-1.0737308109980175</v>
      </c>
      <c r="P11" s="3">
        <f>O11</f>
        <v>-1.0737308109980175</v>
      </c>
      <c r="Q11">
        <f>F11*$B$3</f>
        <v>1.5788422458776845</v>
      </c>
      <c r="R11">
        <f>D11*G11</f>
        <v>0</v>
      </c>
      <c r="S11">
        <f>H11*F11*$B$3</f>
        <v>0.78942112293884226</v>
      </c>
      <c r="T11">
        <f>I11*B3</f>
        <v>-4.0992411999999998</v>
      </c>
      <c r="U11" s="3">
        <f>SUM(Q11:T11)</f>
        <v>-1.7309778311834729</v>
      </c>
      <c r="V11" s="3">
        <f>U11</f>
        <v>-1.7309778311834729</v>
      </c>
    </row>
    <row r="12" spans="1:22">
      <c r="A12" t="s">
        <v>8</v>
      </c>
      <c r="B12">
        <v>0.6</v>
      </c>
      <c r="C12">
        <f>B1</f>
        <v>5.4970629948544047</v>
      </c>
      <c r="D12">
        <f>'Test Slurries'!H12</f>
        <v>3.1052467491161972E-2</v>
      </c>
      <c r="E12" s="6">
        <f>'Test Slurries'!I12</f>
        <v>7.2795931971790559E-2</v>
      </c>
      <c r="F12">
        <f>C12^2/(2*9.807)</f>
        <v>1.5406190256652228</v>
      </c>
      <c r="G12">
        <v>10</v>
      </c>
      <c r="H12">
        <v>0.1</v>
      </c>
      <c r="I12">
        <v>5</v>
      </c>
      <c r="J12">
        <f>J11+I12</f>
        <v>1</v>
      </c>
      <c r="K12">
        <f>F12*$B$4-F11*$B$4</f>
        <v>0</v>
      </c>
      <c r="L12">
        <f>G12*E12</f>
        <v>0.72795931971790562</v>
      </c>
      <c r="M12">
        <f t="shared" ref="M12:M15" si="0">F12*H12*$B$4</f>
        <v>0.20170069260013218</v>
      </c>
      <c r="N12">
        <f>I12*$B$4</f>
        <v>6.5460924874999504</v>
      </c>
      <c r="O12" s="3">
        <f t="shared" ref="O12:O15" si="1">SUM(K12:N12)</f>
        <v>7.4757524998179878</v>
      </c>
      <c r="P12" s="3">
        <f>P11+O12</f>
        <v>6.4020216888199704</v>
      </c>
      <c r="Q12">
        <f>F12*$B$3-F11*$B$3</f>
        <v>0</v>
      </c>
      <c r="R12">
        <f>D12*G12</f>
        <v>0.31052467491161972</v>
      </c>
      <c r="S12">
        <f>H12*F12*$B$3</f>
        <v>0.15788422458776849</v>
      </c>
      <c r="T12">
        <f>I12*$B$3</f>
        <v>5.1240515000000002</v>
      </c>
      <c r="U12" s="3">
        <f t="shared" ref="U12" si="2">SUM(Q12:T12)</f>
        <v>5.5924603994993882</v>
      </c>
      <c r="V12" s="3">
        <f>V11+U12</f>
        <v>3.8614825683159153</v>
      </c>
    </row>
    <row r="13" spans="1:22">
      <c r="A13" t="s">
        <v>19</v>
      </c>
      <c r="B13">
        <v>0.5</v>
      </c>
      <c r="C13">
        <f>C12*(B12^2/B13^2)</f>
        <v>7.9157707125903425</v>
      </c>
      <c r="D13">
        <f>'Test Slurries'!C12</f>
        <v>7.8682324361017186E-2</v>
      </c>
      <c r="E13" s="6">
        <f>'Test Slurries'!D12</f>
        <v>9.2174645943667796E-2</v>
      </c>
      <c r="F13">
        <f>C13^2/(2*9.807)</f>
        <v>3.1946276116194054</v>
      </c>
      <c r="G13">
        <v>25</v>
      </c>
      <c r="H13">
        <v>0.1</v>
      </c>
      <c r="I13">
        <v>0</v>
      </c>
      <c r="J13">
        <f t="shared" ref="J13:J15" si="3">J12+I13</f>
        <v>1</v>
      </c>
      <c r="K13">
        <f t="shared" ref="K13:K15" si="4">F13*$B$4-F12*$B$4</f>
        <v>2.1654586357550181</v>
      </c>
      <c r="L13">
        <f>G13*E13</f>
        <v>2.3043661485916949</v>
      </c>
      <c r="M13">
        <f t="shared" si="0"/>
        <v>0.418246556175634</v>
      </c>
      <c r="N13">
        <f t="shared" ref="N13:N15" si="5">I13*$B$4</f>
        <v>0</v>
      </c>
      <c r="O13" s="3">
        <f t="shared" si="1"/>
        <v>4.8880713405223473</v>
      </c>
      <c r="P13" s="3">
        <f t="shared" ref="P13:P15" si="6">P12+O13</f>
        <v>11.290093029342318</v>
      </c>
      <c r="Q13">
        <f t="shared" ref="Q13:Q15" si="7">F13*$B$3-F12*$B$3</f>
        <v>1.6950450351742818</v>
      </c>
      <c r="R13">
        <f>D13*G13</f>
        <v>1.9670581090254298</v>
      </c>
      <c r="S13">
        <f t="shared" ref="S13:S15" si="8">H13*F13*$B$3</f>
        <v>0.32738872810519665</v>
      </c>
      <c r="T13">
        <f t="shared" ref="T13:T15" si="9">I13*$B$3</f>
        <v>0</v>
      </c>
      <c r="U13" s="3">
        <f t="shared" ref="U13:U15" si="10">SUM(Q13:T13)</f>
        <v>3.9894918723049084</v>
      </c>
      <c r="V13" s="3">
        <f t="shared" ref="V13:V15" si="11">V12+U13</f>
        <v>7.8509744406208242</v>
      </c>
    </row>
    <row r="14" spans="1:22">
      <c r="A14" t="s">
        <v>20</v>
      </c>
      <c r="B14">
        <v>0.5</v>
      </c>
      <c r="C14">
        <f t="shared" ref="C14:E15" si="12">C13</f>
        <v>7.9157707125903425</v>
      </c>
      <c r="D14">
        <f>D13</f>
        <v>7.8682324361017186E-2</v>
      </c>
      <c r="E14">
        <f t="shared" si="12"/>
        <v>9.2174645943667796E-2</v>
      </c>
      <c r="F14">
        <f>C14^2/(2*9.807)</f>
        <v>3.1946276116194054</v>
      </c>
      <c r="G14">
        <v>20</v>
      </c>
      <c r="H14">
        <v>0.2</v>
      </c>
      <c r="I14">
        <v>-1</v>
      </c>
      <c r="J14">
        <f t="shared" si="3"/>
        <v>0</v>
      </c>
      <c r="K14">
        <f t="shared" si="4"/>
        <v>0</v>
      </c>
      <c r="L14">
        <f>G14*E14</f>
        <v>1.843492918873356</v>
      </c>
      <c r="M14">
        <f t="shared" si="0"/>
        <v>0.836493112351268</v>
      </c>
      <c r="N14">
        <f t="shared" si="5"/>
        <v>-1.3092184974999901</v>
      </c>
      <c r="O14" s="3">
        <f t="shared" si="1"/>
        <v>1.3707675337246341</v>
      </c>
      <c r="P14" s="3">
        <f t="shared" si="6"/>
        <v>12.660860563066951</v>
      </c>
      <c r="Q14">
        <f t="shared" si="7"/>
        <v>0</v>
      </c>
      <c r="R14">
        <f>D14*G14</f>
        <v>1.5736464872203437</v>
      </c>
      <c r="S14">
        <f t="shared" si="8"/>
        <v>0.65477745621039329</v>
      </c>
      <c r="T14">
        <f t="shared" si="9"/>
        <v>-1.0248103</v>
      </c>
      <c r="U14" s="3">
        <f t="shared" si="10"/>
        <v>1.203613643430737</v>
      </c>
      <c r="V14" s="3">
        <f t="shared" si="11"/>
        <v>9.0545880840515611</v>
      </c>
    </row>
    <row r="15" spans="1:22" ht="13">
      <c r="A15" t="s">
        <v>21</v>
      </c>
      <c r="B15">
        <v>0.5</v>
      </c>
      <c r="C15">
        <f t="shared" si="12"/>
        <v>7.9157707125903425</v>
      </c>
      <c r="D15">
        <f>D14</f>
        <v>7.8682324361017186E-2</v>
      </c>
      <c r="E15">
        <f t="shared" si="12"/>
        <v>9.2174645943667796E-2</v>
      </c>
      <c r="F15">
        <f>C15^2/(2*9.807)</f>
        <v>3.1946276116194054</v>
      </c>
      <c r="G15">
        <v>1000</v>
      </c>
      <c r="H15">
        <v>1</v>
      </c>
      <c r="I15">
        <v>1</v>
      </c>
      <c r="J15">
        <f t="shared" si="3"/>
        <v>1</v>
      </c>
      <c r="K15">
        <f t="shared" si="4"/>
        <v>0</v>
      </c>
      <c r="L15">
        <f>G15*E15</f>
        <v>92.174645943667798</v>
      </c>
      <c r="M15">
        <f t="shared" si="0"/>
        <v>4.1824655617563398</v>
      </c>
      <c r="N15">
        <f t="shared" si="5"/>
        <v>1.3092184974999901</v>
      </c>
      <c r="O15" s="3">
        <f t="shared" si="1"/>
        <v>97.666330002924127</v>
      </c>
      <c r="P15" s="7">
        <f t="shared" si="6"/>
        <v>110.32719056599107</v>
      </c>
      <c r="Q15">
        <f t="shared" si="7"/>
        <v>0</v>
      </c>
      <c r="R15">
        <f>D15*G15</f>
        <v>78.68232436101718</v>
      </c>
      <c r="S15">
        <f t="shared" si="8"/>
        <v>3.2738872810519664</v>
      </c>
      <c r="T15">
        <f t="shared" si="9"/>
        <v>1.0248103</v>
      </c>
      <c r="U15" s="3">
        <f t="shared" si="10"/>
        <v>82.981021942069148</v>
      </c>
      <c r="V15" s="7">
        <f t="shared" si="11"/>
        <v>92.035610026120708</v>
      </c>
    </row>
    <row r="17" spans="1:22">
      <c r="A17" t="s">
        <v>92</v>
      </c>
      <c r="P17" s="2">
        <f>'Test Pumps'!M19</f>
        <v>118.28457242286686</v>
      </c>
      <c r="Q17" s="2"/>
      <c r="R17" s="2"/>
      <c r="S17" s="2"/>
      <c r="T17" s="2"/>
      <c r="U17" s="2"/>
      <c r="V17" s="2">
        <f>'Test Pumps'!M18</f>
        <v>92.589012744261822</v>
      </c>
    </row>
    <row r="18" spans="1:22">
      <c r="P18" s="2">
        <f>P17-P15</f>
        <v>7.9573818568757844</v>
      </c>
    </row>
    <row r="21" spans="1:22">
      <c r="A21" t="s">
        <v>25</v>
      </c>
      <c r="B21" t="s">
        <v>39</v>
      </c>
    </row>
    <row r="22" spans="1:22">
      <c r="B22" t="s">
        <v>38</v>
      </c>
    </row>
    <row r="25" spans="1:22">
      <c r="O25" t="s">
        <v>31</v>
      </c>
      <c r="P25" t="s">
        <v>32</v>
      </c>
      <c r="Q25" t="s">
        <v>33</v>
      </c>
    </row>
    <row r="26" spans="1:22">
      <c r="O26">
        <v>0</v>
      </c>
      <c r="P26">
        <f>N11</f>
        <v>-4.0992411999999998</v>
      </c>
      <c r="Q26">
        <f>J11</f>
        <v>-4</v>
      </c>
    </row>
    <row r="27" spans="1:22">
      <c r="O27">
        <f>G11</f>
        <v>0</v>
      </c>
      <c r="P27" s="3">
        <f>P11</f>
        <v>-1.0737308109980175</v>
      </c>
      <c r="Q27">
        <f t="shared" ref="Q27:Q31" si="13">J12</f>
        <v>1</v>
      </c>
    </row>
    <row r="28" spans="1:22">
      <c r="O28">
        <f>O27+G12</f>
        <v>10</v>
      </c>
      <c r="P28" s="3">
        <f t="shared" ref="P28:P31" si="14">P12</f>
        <v>6.4020216888199704</v>
      </c>
      <c r="Q28">
        <f t="shared" si="13"/>
        <v>1</v>
      </c>
    </row>
    <row r="29" spans="1:22">
      <c r="O29">
        <f>O28+G13</f>
        <v>35</v>
      </c>
      <c r="P29" s="3">
        <f t="shared" si="14"/>
        <v>11.290093029342318</v>
      </c>
      <c r="Q29">
        <f t="shared" si="13"/>
        <v>0</v>
      </c>
    </row>
    <row r="30" spans="1:22">
      <c r="O30">
        <f>O29+G14</f>
        <v>55</v>
      </c>
      <c r="P30" s="3">
        <f t="shared" si="14"/>
        <v>12.660860563066951</v>
      </c>
      <c r="Q30">
        <f t="shared" si="13"/>
        <v>1</v>
      </c>
    </row>
    <row r="31" spans="1:22">
      <c r="O31">
        <f>O30+G15</f>
        <v>1055</v>
      </c>
      <c r="P31" s="3">
        <f t="shared" si="14"/>
        <v>110.32719056599107</v>
      </c>
      <c r="Q31">
        <f t="shared" si="13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71C16-F2F2-40AB-8704-DA166AC9D65D}">
  <sheetPr codeName="Sheet13"/>
  <dimension ref="A1:V31"/>
  <sheetViews>
    <sheetView workbookViewId="0">
      <selection activeCell="A8" sqref="A8:XFD8"/>
    </sheetView>
  </sheetViews>
  <sheetFormatPr defaultRowHeight="12.5"/>
  <cols>
    <col min="2" max="2" width="10.36328125" bestFit="1" customWidth="1"/>
    <col min="15" max="15" width="11.36328125" bestFit="1" customWidth="1"/>
    <col min="16" max="16" width="10.36328125" customWidth="1"/>
    <col min="21" max="21" width="11.36328125" bestFit="1" customWidth="1"/>
  </cols>
  <sheetData>
    <row r="1" spans="1:22">
      <c r="A1" t="s">
        <v>5</v>
      </c>
      <c r="B1" s="6">
        <v>3.9583332189371081</v>
      </c>
      <c r="C1" t="s">
        <v>7</v>
      </c>
      <c r="E1" s="6">
        <v>3.9583332189371081</v>
      </c>
    </row>
    <row r="2" spans="1:22">
      <c r="A2" t="s">
        <v>6</v>
      </c>
      <c r="B2" s="4">
        <f>B1*PI()*(B11/2)^2</f>
        <v>1.119192350496593</v>
      </c>
    </row>
    <row r="3" spans="1:22">
      <c r="A3" t="s">
        <v>12</v>
      </c>
      <c r="B3">
        <v>1.0248103</v>
      </c>
    </row>
    <row r="4" spans="1:22">
      <c r="A4" t="s">
        <v>13</v>
      </c>
      <c r="B4">
        <v>1.3092184974999901</v>
      </c>
    </row>
    <row r="6" spans="1:22">
      <c r="A6" t="s">
        <v>8</v>
      </c>
      <c r="B6" t="s">
        <v>9</v>
      </c>
      <c r="C6" t="s">
        <v>5</v>
      </c>
      <c r="D6" t="s">
        <v>0</v>
      </c>
      <c r="E6" t="s">
        <v>1</v>
      </c>
      <c r="F6" t="s">
        <v>24</v>
      </c>
      <c r="G6" t="s">
        <v>10</v>
      </c>
      <c r="H6" t="s">
        <v>11</v>
      </c>
      <c r="I6" t="s">
        <v>26</v>
      </c>
      <c r="J6" t="s">
        <v>14</v>
      </c>
      <c r="K6" t="s">
        <v>29</v>
      </c>
      <c r="L6" t="s">
        <v>27</v>
      </c>
      <c r="M6" t="s">
        <v>22</v>
      </c>
      <c r="N6" t="s">
        <v>28</v>
      </c>
      <c r="O6" t="s">
        <v>16</v>
      </c>
      <c r="P6" t="s">
        <v>30</v>
      </c>
      <c r="Q6" t="s">
        <v>29</v>
      </c>
      <c r="R6" t="s">
        <v>34</v>
      </c>
      <c r="S6" t="s">
        <v>35</v>
      </c>
      <c r="T6" t="s">
        <v>36</v>
      </c>
      <c r="U6" t="s">
        <v>15</v>
      </c>
      <c r="V6" t="s">
        <v>37</v>
      </c>
    </row>
    <row r="7" spans="1:22">
      <c r="A7" t="s">
        <v>23</v>
      </c>
      <c r="F7">
        <f>F15</f>
        <v>1.6564697727170183</v>
      </c>
      <c r="G7">
        <f>SUM(G11:G15)</f>
        <v>1055</v>
      </c>
      <c r="H7">
        <f>SUM(H11:H15)</f>
        <v>1.9</v>
      </c>
      <c r="J7">
        <f>J12</f>
        <v>1</v>
      </c>
      <c r="O7" s="9">
        <f>P15</f>
        <v>89.136792726257866</v>
      </c>
      <c r="P7" s="5"/>
      <c r="U7" s="8">
        <f>V15</f>
        <v>48.828681085560646</v>
      </c>
      <c r="V7" s="5"/>
    </row>
    <row r="8" spans="1:22">
      <c r="A8" t="s">
        <v>94</v>
      </c>
      <c r="O8" s="22">
        <f>O7-SUM(N11:N15)</f>
        <v>86.689941438757913</v>
      </c>
      <c r="P8" s="5"/>
      <c r="U8" s="22">
        <f>U7-SUM(T11:T15)</f>
        <v>47.803870785560648</v>
      </c>
      <c r="V8" s="5"/>
    </row>
    <row r="9" spans="1:22">
      <c r="A9" t="s">
        <v>17</v>
      </c>
      <c r="O9" s="8">
        <f>O7-SUM(M11:N15)</f>
        <v>83.243144486730529</v>
      </c>
      <c r="P9" s="5"/>
      <c r="U9" s="8">
        <f>U7-SUM(S11:T15)</f>
        <v>45.105839077949291</v>
      </c>
      <c r="V9" s="5"/>
    </row>
    <row r="11" spans="1:22">
      <c r="A11" t="s">
        <v>18</v>
      </c>
      <c r="B11">
        <v>0.6</v>
      </c>
      <c r="C11">
        <f>C12</f>
        <v>3.9583332189371081</v>
      </c>
      <c r="F11">
        <f>C11^2/(2*9.807)</f>
        <v>0.79883766045380888</v>
      </c>
      <c r="G11">
        <v>0</v>
      </c>
      <c r="H11">
        <v>0.5</v>
      </c>
      <c r="I11">
        <v>-4</v>
      </c>
      <c r="J11">
        <f>I11</f>
        <v>-4</v>
      </c>
      <c r="K11">
        <f>F11*$B$4</f>
        <v>1.045853041565743</v>
      </c>
      <c r="L11">
        <f>G11*E11</f>
        <v>0</v>
      </c>
      <c r="M11">
        <f>F11*H11*$B$4</f>
        <v>0.5229265207828715</v>
      </c>
      <c r="N11">
        <f>I11*B3</f>
        <v>-4.0992411999999998</v>
      </c>
      <c r="O11" s="3">
        <f>SUM(K11:N11)</f>
        <v>-2.5304616376513853</v>
      </c>
      <c r="P11" s="3">
        <f>O11</f>
        <v>-2.5304616376513853</v>
      </c>
      <c r="Q11">
        <f>F11*$B$3</f>
        <v>0.81865706246096603</v>
      </c>
      <c r="R11">
        <f>D11*G11</f>
        <v>0</v>
      </c>
      <c r="S11">
        <f>H11*F11*$B$3</f>
        <v>0.40932853123048302</v>
      </c>
      <c r="T11">
        <f>I11*B3</f>
        <v>-4.0992411999999998</v>
      </c>
      <c r="U11" s="3">
        <f>SUM(Q11:T11)</f>
        <v>-2.8712556063085506</v>
      </c>
      <c r="V11" s="3">
        <f>U11</f>
        <v>-2.8712556063085506</v>
      </c>
    </row>
    <row r="12" spans="1:22">
      <c r="A12" t="s">
        <v>8</v>
      </c>
      <c r="B12">
        <v>0.6</v>
      </c>
      <c r="C12">
        <f>B1</f>
        <v>3.9583332189371081</v>
      </c>
      <c r="D12">
        <f>'Test Slurries'!H13</f>
        <v>1.6397395682476272E-2</v>
      </c>
      <c r="E12" s="6">
        <f>'Test Slurries'!I113</f>
        <v>9.9172387832575301E-2</v>
      </c>
      <c r="F12">
        <f>C12^2/(2*9.807)</f>
        <v>0.79883766045380888</v>
      </c>
      <c r="G12">
        <v>10</v>
      </c>
      <c r="H12">
        <v>0.1</v>
      </c>
      <c r="I12">
        <v>5</v>
      </c>
      <c r="J12">
        <f>J11+I12</f>
        <v>1</v>
      </c>
      <c r="K12">
        <f>F12*$B$4-F11*$B$4</f>
        <v>0</v>
      </c>
      <c r="L12">
        <f>G12*E12</f>
        <v>0.99172387832575304</v>
      </c>
      <c r="M12">
        <f t="shared" ref="M12:M15" si="0">F12*H12*$B$4</f>
        <v>0.10458530415657429</v>
      </c>
      <c r="N12">
        <f>I12*$B$4</f>
        <v>6.5460924874999504</v>
      </c>
      <c r="O12" s="3">
        <f t="shared" ref="O12:O15" si="1">SUM(K12:N12)</f>
        <v>7.6424016699822772</v>
      </c>
      <c r="P12" s="3">
        <f>P11+O12</f>
        <v>5.1119400323308923</v>
      </c>
      <c r="Q12">
        <f>F12*$B$3-F11*$B$3</f>
        <v>0</v>
      </c>
      <c r="R12">
        <f>D12*G12</f>
        <v>0.16397395682476273</v>
      </c>
      <c r="S12">
        <f>H12*F12*$B$3</f>
        <v>8.1865706246096598E-2</v>
      </c>
      <c r="T12">
        <f>I12*$B$3</f>
        <v>5.1240515000000002</v>
      </c>
      <c r="U12" s="3">
        <f t="shared" ref="U12:U15" si="2">SUM(Q12:T12)</f>
        <v>5.3698911630708599</v>
      </c>
      <c r="V12" s="3">
        <f>V11+U12</f>
        <v>2.4986355567623093</v>
      </c>
    </row>
    <row r="13" spans="1:22">
      <c r="A13" t="s">
        <v>19</v>
      </c>
      <c r="B13">
        <v>0.5</v>
      </c>
      <c r="C13">
        <f>C12*(B12^2/B13^2)</f>
        <v>5.6999998352694359</v>
      </c>
      <c r="D13">
        <f>'Test Slurries'!C13</f>
        <v>4.1382103192732507E-2</v>
      </c>
      <c r="E13" s="6">
        <f>'Test Slurries'!D13</f>
        <v>7.6634200709487135E-2</v>
      </c>
      <c r="F13">
        <f>C13^2/(2*9.807)</f>
        <v>1.6564697727170183</v>
      </c>
      <c r="G13">
        <v>25</v>
      </c>
      <c r="H13">
        <v>0.1</v>
      </c>
      <c r="I13">
        <v>0</v>
      </c>
      <c r="J13">
        <f t="shared" ref="J13:J15" si="3">J12+I13</f>
        <v>1</v>
      </c>
      <c r="K13">
        <f t="shared" ref="K13:K15" si="4">F13*$B$4-F12*$B$4</f>
        <v>1.1228278254249817</v>
      </c>
      <c r="L13">
        <f>G13*E13</f>
        <v>1.9158550177371785</v>
      </c>
      <c r="M13">
        <f t="shared" si="0"/>
        <v>0.21686808669907251</v>
      </c>
      <c r="N13">
        <f t="shared" ref="N13:N15" si="5">I13*$B$4</f>
        <v>0</v>
      </c>
      <c r="O13" s="3">
        <f t="shared" si="1"/>
        <v>3.2555509298612328</v>
      </c>
      <c r="P13" s="3">
        <f t="shared" ref="P13:P15" si="6">P12+O13</f>
        <v>8.3674909621921252</v>
      </c>
      <c r="Q13">
        <f t="shared" ref="Q13:Q15" si="7">F13*$B$3-F12*$B$3</f>
        <v>0.87891022225809323</v>
      </c>
      <c r="R13">
        <f>D13*G13</f>
        <v>1.0345525798183126</v>
      </c>
      <c r="S13">
        <f t="shared" ref="S13:S15" si="8">H13*F13*$B$3</f>
        <v>0.16975672847190595</v>
      </c>
      <c r="T13">
        <f t="shared" ref="T13:T15" si="9">I13*$B$3</f>
        <v>0</v>
      </c>
      <c r="U13" s="3">
        <f t="shared" si="2"/>
        <v>2.0832195305483117</v>
      </c>
      <c r="V13" s="3">
        <f t="shared" ref="V13:V15" si="10">V12+U13</f>
        <v>4.581855087310621</v>
      </c>
    </row>
    <row r="14" spans="1:22">
      <c r="A14" t="s">
        <v>20</v>
      </c>
      <c r="B14">
        <v>0.5</v>
      </c>
      <c r="C14">
        <f t="shared" ref="C14:E15" si="11">C13</f>
        <v>5.6999998352694359</v>
      </c>
      <c r="D14">
        <f>D13</f>
        <v>4.1382103192732507E-2</v>
      </c>
      <c r="E14">
        <f t="shared" si="11"/>
        <v>7.6634200709487135E-2</v>
      </c>
      <c r="F14">
        <f>C14^2/(2*9.807)</f>
        <v>1.6564697727170183</v>
      </c>
      <c r="G14">
        <v>20</v>
      </c>
      <c r="H14">
        <v>0.2</v>
      </c>
      <c r="I14">
        <v>-1</v>
      </c>
      <c r="J14">
        <f t="shared" si="3"/>
        <v>0</v>
      </c>
      <c r="K14">
        <f t="shared" si="4"/>
        <v>0</v>
      </c>
      <c r="L14">
        <f>G14*E14</f>
        <v>1.5326840141897426</v>
      </c>
      <c r="M14">
        <f t="shared" si="0"/>
        <v>0.43373617339814502</v>
      </c>
      <c r="N14">
        <f t="shared" si="5"/>
        <v>-1.3092184974999901</v>
      </c>
      <c r="O14" s="3">
        <f t="shared" si="1"/>
        <v>0.65720169008789764</v>
      </c>
      <c r="P14" s="3">
        <f t="shared" si="6"/>
        <v>9.0246926522800237</v>
      </c>
      <c r="Q14">
        <f t="shared" si="7"/>
        <v>0</v>
      </c>
      <c r="R14">
        <f>D14*G14</f>
        <v>0.82764206385465011</v>
      </c>
      <c r="S14">
        <f t="shared" si="8"/>
        <v>0.33951345694381191</v>
      </c>
      <c r="T14">
        <f t="shared" si="9"/>
        <v>-1.0248103</v>
      </c>
      <c r="U14" s="3">
        <f t="shared" si="2"/>
        <v>0.14234522079846212</v>
      </c>
      <c r="V14" s="3">
        <f t="shared" si="10"/>
        <v>4.7242003081090829</v>
      </c>
    </row>
    <row r="15" spans="1:22" ht="13">
      <c r="A15" t="s">
        <v>21</v>
      </c>
      <c r="B15">
        <v>0.5</v>
      </c>
      <c r="C15">
        <f t="shared" si="11"/>
        <v>5.6999998352694359</v>
      </c>
      <c r="D15">
        <f>D14</f>
        <v>4.1382103192732507E-2</v>
      </c>
      <c r="E15">
        <f t="shared" si="11"/>
        <v>7.6634200709487135E-2</v>
      </c>
      <c r="F15">
        <f>C15^2/(2*9.807)</f>
        <v>1.6564697727170183</v>
      </c>
      <c r="G15">
        <v>1000</v>
      </c>
      <c r="H15">
        <v>1</v>
      </c>
      <c r="I15">
        <v>1</v>
      </c>
      <c r="J15">
        <f t="shared" si="3"/>
        <v>1</v>
      </c>
      <c r="K15">
        <f t="shared" si="4"/>
        <v>0</v>
      </c>
      <c r="L15">
        <f>G15*E15</f>
        <v>76.634200709487132</v>
      </c>
      <c r="M15">
        <f t="shared" si="0"/>
        <v>2.1686808669907247</v>
      </c>
      <c r="N15">
        <f t="shared" si="5"/>
        <v>1.3092184974999901</v>
      </c>
      <c r="O15" s="3">
        <f t="shared" si="1"/>
        <v>80.112100073977842</v>
      </c>
      <c r="P15" s="7">
        <f t="shared" si="6"/>
        <v>89.136792726257866</v>
      </c>
      <c r="Q15">
        <f t="shared" si="7"/>
        <v>0</v>
      </c>
      <c r="R15">
        <f>D15*G15</f>
        <v>41.382103192732508</v>
      </c>
      <c r="S15">
        <f t="shared" si="8"/>
        <v>1.6975672847190593</v>
      </c>
      <c r="T15">
        <f t="shared" si="9"/>
        <v>1.0248103</v>
      </c>
      <c r="U15" s="3">
        <f t="shared" si="2"/>
        <v>44.104480777451563</v>
      </c>
      <c r="V15" s="7">
        <f t="shared" si="10"/>
        <v>48.828681085560646</v>
      </c>
    </row>
    <row r="16" spans="1:22" ht="13">
      <c r="P16" s="7">
        <v>89.136792726257866</v>
      </c>
    </row>
    <row r="17" spans="1:22">
      <c r="A17" t="s">
        <v>92</v>
      </c>
      <c r="P17" s="2">
        <f>'Test Pumps'!M19</f>
        <v>118.28457242286686</v>
      </c>
      <c r="Q17" s="2"/>
      <c r="R17" s="2"/>
      <c r="S17" s="2"/>
      <c r="T17" s="2"/>
      <c r="U17" s="2"/>
      <c r="V17" s="2">
        <f>'Test Pumps'!M18</f>
        <v>92.589012744261822</v>
      </c>
    </row>
    <row r="18" spans="1:22">
      <c r="P18" s="2">
        <f>P17-P15</f>
        <v>29.147779696608993</v>
      </c>
    </row>
    <row r="21" spans="1:22">
      <c r="A21" t="s">
        <v>25</v>
      </c>
      <c r="B21" t="s">
        <v>39</v>
      </c>
    </row>
    <row r="22" spans="1:22">
      <c r="B22" t="s">
        <v>38</v>
      </c>
    </row>
    <row r="25" spans="1:22">
      <c r="O25" t="s">
        <v>31</v>
      </c>
      <c r="P25" t="s">
        <v>32</v>
      </c>
      <c r="Q25" t="s">
        <v>33</v>
      </c>
    </row>
    <row r="26" spans="1:22">
      <c r="O26">
        <v>0</v>
      </c>
      <c r="P26">
        <f>N11</f>
        <v>-4.0992411999999998</v>
      </c>
      <c r="Q26">
        <f>J11</f>
        <v>-4</v>
      </c>
    </row>
    <row r="27" spans="1:22">
      <c r="O27">
        <f>G11</f>
        <v>0</v>
      </c>
      <c r="P27" s="3">
        <f>P11</f>
        <v>-2.5304616376513853</v>
      </c>
      <c r="Q27">
        <f t="shared" ref="Q27:Q31" si="12">J12</f>
        <v>1</v>
      </c>
    </row>
    <row r="28" spans="1:22">
      <c r="O28">
        <f>O27+G12</f>
        <v>10</v>
      </c>
      <c r="P28" s="3">
        <f t="shared" ref="P28:P31" si="13">P12</f>
        <v>5.1119400323308923</v>
      </c>
      <c r="Q28">
        <f t="shared" si="12"/>
        <v>1</v>
      </c>
    </row>
    <row r="29" spans="1:22">
      <c r="O29">
        <f>O28+G13</f>
        <v>35</v>
      </c>
      <c r="P29" s="3">
        <f t="shared" si="13"/>
        <v>8.3674909621921252</v>
      </c>
      <c r="Q29">
        <f t="shared" si="12"/>
        <v>0</v>
      </c>
    </row>
    <row r="30" spans="1:22">
      <c r="O30">
        <f>O29+G14</f>
        <v>55</v>
      </c>
      <c r="P30" s="3">
        <f t="shared" si="13"/>
        <v>9.0246926522800237</v>
      </c>
      <c r="Q30">
        <f t="shared" si="12"/>
        <v>1</v>
      </c>
    </row>
    <row r="31" spans="1:22">
      <c r="O31">
        <f>O30+G15</f>
        <v>1055</v>
      </c>
      <c r="P31" s="3">
        <f t="shared" si="13"/>
        <v>89.136792726257866</v>
      </c>
      <c r="Q31">
        <f t="shared" si="12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 Slurries</vt:lpstr>
      <vt:lpstr>Test Pumps</vt:lpstr>
      <vt:lpstr>Test Pipeline</vt:lpstr>
      <vt:lpstr>Test Pipeline qimin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2021-03-10T17:54:20Z</dcterms:created>
  <dcterms:modified xsi:type="dcterms:W3CDTF">2022-09-12T22:03:31Z</dcterms:modified>
</cp:coreProperties>
</file>